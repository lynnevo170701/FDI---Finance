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sh\Downloads\"/>
    </mc:Choice>
  </mc:AlternateContent>
  <xr:revisionPtr revIDLastSave="0" documentId="13_ncr:1_{B621C131-DFCE-4367-B669-80B0ADFEBE13}" xr6:coauthVersionLast="47" xr6:coauthVersionMax="47" xr10:uidLastSave="{00000000-0000-0000-0000-000000000000}"/>
  <bookViews>
    <workbookView xWindow="-108" yWindow="-108" windowWidth="23256" windowHeight="12576" firstSheet="3" activeTab="9" xr2:uid="{D736F26C-7D8E-44BA-89DA-4472579F451F}"/>
  </bookViews>
  <sheets>
    <sheet name="Cash flow statement" sheetId="1" r:id="rId1"/>
    <sheet name="Income statement" sheetId="2" r:id="rId2"/>
    <sheet name="Capital requirement" sheetId="3" r:id="rId3"/>
    <sheet name="Depreciation" sheetId="6" r:id="rId4"/>
    <sheet name="Revenue" sheetId="4" r:id="rId5"/>
    <sheet name="Wages &amp; Rent" sheetId="7" r:id="rId6"/>
    <sheet name="WACC" sheetId="9" r:id="rId7"/>
    <sheet name="Sensitivity cases" sheetId="8" r:id="rId8"/>
    <sheet name="Sensitivity cases (net income)" sheetId="12" r:id="rId9"/>
    <sheet name="Market Share" sheetId="13" r:id="rId10"/>
  </sheets>
  <externalReferences>
    <externalReference r:id="rId11"/>
  </externalReferences>
  <definedNames>
    <definedName name="_xlnm._FilterDatabase" localSheetId="0" hidden="1">'Cash flow statement'!$A$1:$L$28</definedName>
    <definedName name="BackOfficeWage">Table1[[#Totals],[Total cost per year(AZN)]]</definedName>
    <definedName name="capital_expenditure">Depreciation!$B$5</definedName>
    <definedName name="Cost_for_business_per_kWh">'Wages &amp; Rent'!$N$15</definedName>
    <definedName name="cost_per_kwh">Revenue!$G$2</definedName>
    <definedName name="depreciation">Depreciation!$B$6:$L$6</definedName>
    <definedName name="depreciation_amount">Depreciation!$I$2</definedName>
    <definedName name="depreciation_percentage">Depreciation!$I$2</definedName>
    <definedName name="depreciation_value">Depreciation!$I$2</definedName>
    <definedName name="ending_value">Depreciation!$L$7</definedName>
    <definedName name="Energy_consumption_kWh_sqm_warehouse">'Wages &amp; Rent'!$N$11</definedName>
    <definedName name="Energy_consumption_office_kWh_sqm">'Wages &amp; Rent'!$N$13</definedName>
    <definedName name="expenses_example">'Income statement'!$C$13</definedName>
    <definedName name="expenses_range">'Sensitivity cases'!$J$5:$J$15</definedName>
    <definedName name="growth_sale_volume">Revenue!$G$2</definedName>
    <definedName name="income_tax">'Income statement'!$D$2</definedName>
    <definedName name="inflation_rate_Azerbaijan">'Cash flow statement'!$B$14</definedName>
    <definedName name="inflation_rate_Eurozone">'Cash flow statement'!$B$15</definedName>
    <definedName name="Net_income">'Income statement'!$B$16:$L$16</definedName>
    <definedName name="NPV_Euro">'Cash flow statement'!$B$21</definedName>
    <definedName name="NPV_Manat">'Cash flow statement'!$B$20</definedName>
    <definedName name="perpetuity_growth_rate">'Cash flow statement'!$B$18</definedName>
    <definedName name="Range">'Sensitivity cases'!$G$5:$G$15</definedName>
    <definedName name="revenue">Revenue!$B$7:$L$7</definedName>
    <definedName name="selling_price_range">'Sensitivity cases'!$H$5:$H$15</definedName>
    <definedName name="SiteOperationWage">Table2[[#Totals],[Total cost per year(AZN)]]</definedName>
    <definedName name="spot_exchange_rate">'Cash flow statement'!$B$13</definedName>
    <definedName name="TotalRent">rent_utility_fee[[#Totals],[Average cost per year AZN]]</definedName>
    <definedName name="TotalUtility">rent_utility_fee[[#Totals],[Energy cost py]]</definedName>
    <definedName name="WACC">WACC!$B$9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8" l="1"/>
  <c r="B94" i="8" s="1"/>
  <c r="B15" i="12" a="1"/>
  <c r="B15" i="12" s="1"/>
  <c r="D13" i="12" a="1"/>
  <c r="D13" i="12" s="1"/>
  <c r="B4" i="12"/>
  <c r="B7" i="12" s="1"/>
  <c r="B18" i="1"/>
  <c r="B983" i="8" l="1"/>
  <c r="B904" i="8"/>
  <c r="B748" i="8"/>
  <c r="B440" i="8"/>
  <c r="B885" i="8"/>
  <c r="B723" i="8"/>
  <c r="B384" i="8"/>
  <c r="B1004" i="8"/>
  <c r="B872" i="8"/>
  <c r="B706" i="8"/>
  <c r="B1002" i="8"/>
  <c r="B270" i="8"/>
  <c r="B997" i="8"/>
  <c r="B954" i="8"/>
  <c r="B834" i="8"/>
  <c r="B664" i="8"/>
  <c r="B214" i="8"/>
  <c r="B972" i="8"/>
  <c r="B328" i="8"/>
  <c r="B962" i="8"/>
  <c r="B851" i="8"/>
  <c r="B681" i="8"/>
  <c r="B993" i="8"/>
  <c r="B941" i="8"/>
  <c r="B809" i="8"/>
  <c r="B612" i="8"/>
  <c r="B149" i="8"/>
  <c r="B976" i="8"/>
  <c r="B992" i="8"/>
  <c r="B933" i="8"/>
  <c r="B792" i="8"/>
  <c r="B556" i="8"/>
  <c r="B72" i="8"/>
  <c r="B986" i="8"/>
  <c r="B917" i="8"/>
  <c r="B767" i="8"/>
  <c r="B500" i="8"/>
  <c r="B637" i="8"/>
  <c r="B577" i="8"/>
  <c r="B521" i="8"/>
  <c r="B465" i="8"/>
  <c r="B407" i="8"/>
  <c r="B351" i="8"/>
  <c r="B295" i="8"/>
  <c r="B237" i="8"/>
  <c r="B177" i="8"/>
  <c r="B105" i="8"/>
  <c r="B994" i="8"/>
  <c r="B984" i="8"/>
  <c r="B973" i="8"/>
  <c r="B957" i="8"/>
  <c r="B936" i="8"/>
  <c r="B909" i="8"/>
  <c r="B877" i="8"/>
  <c r="B841" i="8"/>
  <c r="B799" i="8"/>
  <c r="B755" i="8"/>
  <c r="B713" i="8"/>
  <c r="B671" i="8"/>
  <c r="B621" i="8"/>
  <c r="B565" i="8"/>
  <c r="B509" i="8"/>
  <c r="B449" i="8"/>
  <c r="B393" i="8"/>
  <c r="B337" i="8"/>
  <c r="B279" i="8"/>
  <c r="B223" i="8"/>
  <c r="B159" i="8"/>
  <c r="B85" i="8"/>
  <c r="B981" i="8"/>
  <c r="B930" i="8"/>
  <c r="B869" i="8"/>
  <c r="B787" i="8"/>
  <c r="B659" i="8"/>
  <c r="B551" i="8"/>
  <c r="B493" i="8"/>
  <c r="B381" i="8"/>
  <c r="B321" i="8"/>
  <c r="B265" i="8"/>
  <c r="B63" i="8"/>
  <c r="B1001" i="8"/>
  <c r="B991" i="8"/>
  <c r="B980" i="8"/>
  <c r="B969" i="8"/>
  <c r="B949" i="8"/>
  <c r="B928" i="8"/>
  <c r="B896" i="8"/>
  <c r="B864" i="8"/>
  <c r="B824" i="8"/>
  <c r="B780" i="8"/>
  <c r="B738" i="8"/>
  <c r="B696" i="8"/>
  <c r="B652" i="8"/>
  <c r="B598" i="8"/>
  <c r="B542" i="8"/>
  <c r="B484" i="8"/>
  <c r="B428" i="8"/>
  <c r="B372" i="8"/>
  <c r="B312" i="8"/>
  <c r="B256" i="8"/>
  <c r="B200" i="8"/>
  <c r="B132" i="8"/>
  <c r="B52" i="8"/>
  <c r="B952" i="8"/>
  <c r="B745" i="8"/>
  <c r="B209" i="8"/>
  <c r="B1000" i="8"/>
  <c r="B989" i="8"/>
  <c r="B978" i="8"/>
  <c r="B968" i="8"/>
  <c r="B946" i="8"/>
  <c r="B925" i="8"/>
  <c r="B893" i="8"/>
  <c r="B861" i="8"/>
  <c r="B819" i="8"/>
  <c r="B777" i="8"/>
  <c r="B735" i="8"/>
  <c r="B691" i="8"/>
  <c r="B649" i="8"/>
  <c r="B593" i="8"/>
  <c r="B535" i="8"/>
  <c r="B479" i="8"/>
  <c r="B423" i="8"/>
  <c r="B365" i="8"/>
  <c r="B309" i="8"/>
  <c r="B253" i="8"/>
  <c r="B192" i="8"/>
  <c r="B126" i="8"/>
  <c r="B37" i="8"/>
  <c r="B970" i="8"/>
  <c r="B901" i="8"/>
  <c r="B831" i="8"/>
  <c r="B703" i="8"/>
  <c r="B607" i="8"/>
  <c r="B437" i="8"/>
  <c r="B142" i="8"/>
  <c r="B999" i="8"/>
  <c r="B988" i="8"/>
  <c r="B977" i="8"/>
  <c r="B965" i="8"/>
  <c r="B944" i="8"/>
  <c r="B920" i="8"/>
  <c r="B888" i="8"/>
  <c r="B856" i="8"/>
  <c r="B812" i="8"/>
  <c r="B770" i="8"/>
  <c r="B728" i="8"/>
  <c r="B684" i="8"/>
  <c r="B640" i="8"/>
  <c r="B584" i="8"/>
  <c r="B526" i="8"/>
  <c r="B470" i="8"/>
  <c r="B414" i="8"/>
  <c r="B356" i="8"/>
  <c r="B300" i="8"/>
  <c r="B244" i="8"/>
  <c r="B182" i="8"/>
  <c r="B116" i="8"/>
  <c r="B36" i="8"/>
  <c r="B996" i="8"/>
  <c r="B985" i="8"/>
  <c r="B975" i="8"/>
  <c r="B960" i="8"/>
  <c r="B938" i="8"/>
  <c r="B912" i="8"/>
  <c r="B880" i="8"/>
  <c r="B844" i="8"/>
  <c r="B802" i="8"/>
  <c r="B760" i="8"/>
  <c r="B716" i="8"/>
  <c r="B674" i="8"/>
  <c r="B628" i="8"/>
  <c r="B568" i="8"/>
  <c r="B512" i="8"/>
  <c r="B456" i="8"/>
  <c r="B398" i="8"/>
  <c r="B342" i="8"/>
  <c r="B286" i="8"/>
  <c r="B228" i="8"/>
  <c r="B167" i="8"/>
  <c r="B964" i="8"/>
  <c r="B948" i="8"/>
  <c r="B924" i="8"/>
  <c r="B1003" i="8"/>
  <c r="B995" i="8"/>
  <c r="B987" i="8"/>
  <c r="B979" i="8"/>
  <c r="B971" i="8"/>
  <c r="B963" i="8"/>
  <c r="B955" i="8"/>
  <c r="B947" i="8"/>
  <c r="B939" i="8"/>
  <c r="B931" i="8"/>
  <c r="B923" i="8"/>
  <c r="B915" i="8"/>
  <c r="B907" i="8"/>
  <c r="B899" i="8"/>
  <c r="B891" i="8"/>
  <c r="B883" i="8"/>
  <c r="B875" i="8"/>
  <c r="B867" i="8"/>
  <c r="B859" i="8"/>
  <c r="B849" i="8"/>
  <c r="B839" i="8"/>
  <c r="B827" i="8"/>
  <c r="B817" i="8"/>
  <c r="B807" i="8"/>
  <c r="B795" i="8"/>
  <c r="B785" i="8"/>
  <c r="B775" i="8"/>
  <c r="B763" i="8"/>
  <c r="B753" i="8"/>
  <c r="B743" i="8"/>
  <c r="B731" i="8"/>
  <c r="B721" i="8"/>
  <c r="B711" i="8"/>
  <c r="B699" i="8"/>
  <c r="B689" i="8"/>
  <c r="B679" i="8"/>
  <c r="B667" i="8"/>
  <c r="B657" i="8"/>
  <c r="B647" i="8"/>
  <c r="B631" i="8"/>
  <c r="B617" i="8"/>
  <c r="B605" i="8"/>
  <c r="B589" i="8"/>
  <c r="B575" i="8"/>
  <c r="B561" i="8"/>
  <c r="B545" i="8"/>
  <c r="B533" i="8"/>
  <c r="B519" i="8"/>
  <c r="B503" i="8"/>
  <c r="B489" i="8"/>
  <c r="B477" i="8"/>
  <c r="B461" i="8"/>
  <c r="B447" i="8"/>
  <c r="B433" i="8"/>
  <c r="B417" i="8"/>
  <c r="B405" i="8"/>
  <c r="B391" i="8"/>
  <c r="B375" i="8"/>
  <c r="B361" i="8"/>
  <c r="B349" i="8"/>
  <c r="B333" i="8"/>
  <c r="B319" i="8"/>
  <c r="B305" i="8"/>
  <c r="B289" i="8"/>
  <c r="B277" i="8"/>
  <c r="B263" i="8"/>
  <c r="B247" i="8"/>
  <c r="B233" i="8"/>
  <c r="B221" i="8"/>
  <c r="B205" i="8"/>
  <c r="B190" i="8"/>
  <c r="B172" i="8"/>
  <c r="B157" i="8"/>
  <c r="B137" i="8"/>
  <c r="B120" i="8"/>
  <c r="B100" i="8"/>
  <c r="B78" i="8"/>
  <c r="B56" i="8"/>
  <c r="B28" i="8"/>
  <c r="B922" i="8"/>
  <c r="B914" i="8"/>
  <c r="B906" i="8"/>
  <c r="B898" i="8"/>
  <c r="B890" i="8"/>
  <c r="B882" i="8"/>
  <c r="B874" i="8"/>
  <c r="B866" i="8"/>
  <c r="B858" i="8"/>
  <c r="B848" i="8"/>
  <c r="B836" i="8"/>
  <c r="B826" i="8"/>
  <c r="B816" i="8"/>
  <c r="B804" i="8"/>
  <c r="B794" i="8"/>
  <c r="B784" i="8"/>
  <c r="B772" i="8"/>
  <c r="B762" i="8"/>
  <c r="B752" i="8"/>
  <c r="B740" i="8"/>
  <c r="B730" i="8"/>
  <c r="B720" i="8"/>
  <c r="B708" i="8"/>
  <c r="B698" i="8"/>
  <c r="B688" i="8"/>
  <c r="B676" i="8"/>
  <c r="B666" i="8"/>
  <c r="B656" i="8"/>
  <c r="B644" i="8"/>
  <c r="B630" i="8"/>
  <c r="B616" i="8"/>
  <c r="B600" i="8"/>
  <c r="B588" i="8"/>
  <c r="B574" i="8"/>
  <c r="B558" i="8"/>
  <c r="B544" i="8"/>
  <c r="B532" i="8"/>
  <c r="B516" i="8"/>
  <c r="B502" i="8"/>
  <c r="B488" i="8"/>
  <c r="B472" i="8"/>
  <c r="B460" i="8"/>
  <c r="B446" i="8"/>
  <c r="B430" i="8"/>
  <c r="B416" i="8"/>
  <c r="B404" i="8"/>
  <c r="B388" i="8"/>
  <c r="B374" i="8"/>
  <c r="B360" i="8"/>
  <c r="B344" i="8"/>
  <c r="B332" i="8"/>
  <c r="B318" i="8"/>
  <c r="B302" i="8"/>
  <c r="B288" i="8"/>
  <c r="B276" i="8"/>
  <c r="B260" i="8"/>
  <c r="B246" i="8"/>
  <c r="B232" i="8"/>
  <c r="B216" i="8"/>
  <c r="B204" i="8"/>
  <c r="B189" i="8"/>
  <c r="B169" i="8"/>
  <c r="B152" i="8"/>
  <c r="B136" i="8"/>
  <c r="B118" i="8"/>
  <c r="B96" i="8"/>
  <c r="B76" i="8"/>
  <c r="B54" i="8"/>
  <c r="B22" i="8"/>
  <c r="B961" i="8"/>
  <c r="B953" i="8"/>
  <c r="B945" i="8"/>
  <c r="B937" i="8"/>
  <c r="B929" i="8"/>
  <c r="B921" i="8"/>
  <c r="B913" i="8"/>
  <c r="B905" i="8"/>
  <c r="B897" i="8"/>
  <c r="B889" i="8"/>
  <c r="B881" i="8"/>
  <c r="B873" i="8"/>
  <c r="B865" i="8"/>
  <c r="B857" i="8"/>
  <c r="B847" i="8"/>
  <c r="B835" i="8"/>
  <c r="B825" i="8"/>
  <c r="B815" i="8"/>
  <c r="B803" i="8"/>
  <c r="B793" i="8"/>
  <c r="B783" i="8"/>
  <c r="B771" i="8"/>
  <c r="B761" i="8"/>
  <c r="B751" i="8"/>
  <c r="B739" i="8"/>
  <c r="B729" i="8"/>
  <c r="B719" i="8"/>
  <c r="B707" i="8"/>
  <c r="B697" i="8"/>
  <c r="B687" i="8"/>
  <c r="B675" i="8"/>
  <c r="B665" i="8"/>
  <c r="B655" i="8"/>
  <c r="B641" i="8"/>
  <c r="B629" i="8"/>
  <c r="B615" i="8"/>
  <c r="B599" i="8"/>
  <c r="B585" i="8"/>
  <c r="B573" i="8"/>
  <c r="B557" i="8"/>
  <c r="B543" i="8"/>
  <c r="B529" i="8"/>
  <c r="B513" i="8"/>
  <c r="B501" i="8"/>
  <c r="B487" i="8"/>
  <c r="B471" i="8"/>
  <c r="B457" i="8"/>
  <c r="B445" i="8"/>
  <c r="B429" i="8"/>
  <c r="B415" i="8"/>
  <c r="B401" i="8"/>
  <c r="B385" i="8"/>
  <c r="B373" i="8"/>
  <c r="B359" i="8"/>
  <c r="B343" i="8"/>
  <c r="B329" i="8"/>
  <c r="B317" i="8"/>
  <c r="B301" i="8"/>
  <c r="B287" i="8"/>
  <c r="B273" i="8"/>
  <c r="B257" i="8"/>
  <c r="B245" i="8"/>
  <c r="B231" i="8"/>
  <c r="B215" i="8"/>
  <c r="B201" i="8"/>
  <c r="B184" i="8"/>
  <c r="B168" i="8"/>
  <c r="B150" i="8"/>
  <c r="B135" i="8"/>
  <c r="B117" i="8"/>
  <c r="B95" i="8"/>
  <c r="B73" i="8"/>
  <c r="B53" i="8"/>
  <c r="B21" i="8"/>
  <c r="B20" i="8"/>
  <c r="B959" i="8"/>
  <c r="B943" i="8"/>
  <c r="B927" i="8"/>
  <c r="B911" i="8"/>
  <c r="B895" i="8"/>
  <c r="B887" i="8"/>
  <c r="B879" i="8"/>
  <c r="B871" i="8"/>
  <c r="B855" i="8"/>
  <c r="B843" i="8"/>
  <c r="B833" i="8"/>
  <c r="B823" i="8"/>
  <c r="B811" i="8"/>
  <c r="B801" i="8"/>
  <c r="B791" i="8"/>
  <c r="B779" i="8"/>
  <c r="B769" i="8"/>
  <c r="B759" i="8"/>
  <c r="B747" i="8"/>
  <c r="B737" i="8"/>
  <c r="B727" i="8"/>
  <c r="B715" i="8"/>
  <c r="B705" i="8"/>
  <c r="B695" i="8"/>
  <c r="B683" i="8"/>
  <c r="B673" i="8"/>
  <c r="B663" i="8"/>
  <c r="B651" i="8"/>
  <c r="B639" i="8"/>
  <c r="B625" i="8"/>
  <c r="B609" i="8"/>
  <c r="B597" i="8"/>
  <c r="B583" i="8"/>
  <c r="B567" i="8"/>
  <c r="B553" i="8"/>
  <c r="B541" i="8"/>
  <c r="B525" i="8"/>
  <c r="B511" i="8"/>
  <c r="B497" i="8"/>
  <c r="B481" i="8"/>
  <c r="B469" i="8"/>
  <c r="B455" i="8"/>
  <c r="B439" i="8"/>
  <c r="B425" i="8"/>
  <c r="B413" i="8"/>
  <c r="B397" i="8"/>
  <c r="B383" i="8"/>
  <c r="B369" i="8"/>
  <c r="B353" i="8"/>
  <c r="B341" i="8"/>
  <c r="B327" i="8"/>
  <c r="B311" i="8"/>
  <c r="B297" i="8"/>
  <c r="B285" i="8"/>
  <c r="B269" i="8"/>
  <c r="B255" i="8"/>
  <c r="B241" i="8"/>
  <c r="B225" i="8"/>
  <c r="B213" i="8"/>
  <c r="B199" i="8"/>
  <c r="B181" i="8"/>
  <c r="B164" i="8"/>
  <c r="B148" i="8"/>
  <c r="B128" i="8"/>
  <c r="B110" i="8"/>
  <c r="B88" i="8"/>
  <c r="B68" i="8"/>
  <c r="B44" i="8"/>
  <c r="B6" i="8"/>
  <c r="B967" i="8"/>
  <c r="B951" i="8"/>
  <c r="B935" i="8"/>
  <c r="B919" i="8"/>
  <c r="B903" i="8"/>
  <c r="B863" i="8"/>
  <c r="B998" i="8"/>
  <c r="B990" i="8"/>
  <c r="B982" i="8"/>
  <c r="B974" i="8"/>
  <c r="B966" i="8"/>
  <c r="B958" i="8"/>
  <c r="B950" i="8"/>
  <c r="B942" i="8"/>
  <c r="B934" i="8"/>
  <c r="B926" i="8"/>
  <c r="B918" i="8"/>
  <c r="B910" i="8"/>
  <c r="B902" i="8"/>
  <c r="B894" i="8"/>
  <c r="B886" i="8"/>
  <c r="B878" i="8"/>
  <c r="B870" i="8"/>
  <c r="B862" i="8"/>
  <c r="B852" i="8"/>
  <c r="B842" i="8"/>
  <c r="B832" i="8"/>
  <c r="B820" i="8"/>
  <c r="B810" i="8"/>
  <c r="B800" i="8"/>
  <c r="B788" i="8"/>
  <c r="B778" i="8"/>
  <c r="B768" i="8"/>
  <c r="B756" i="8"/>
  <c r="B746" i="8"/>
  <c r="B736" i="8"/>
  <c r="B724" i="8"/>
  <c r="B714" i="8"/>
  <c r="B704" i="8"/>
  <c r="B692" i="8"/>
  <c r="B682" i="8"/>
  <c r="B672" i="8"/>
  <c r="B660" i="8"/>
  <c r="B650" i="8"/>
  <c r="B638" i="8"/>
  <c r="B622" i="8"/>
  <c r="B608" i="8"/>
  <c r="B596" i="8"/>
  <c r="B580" i="8"/>
  <c r="B566" i="8"/>
  <c r="B552" i="8"/>
  <c r="B536" i="8"/>
  <c r="B524" i="8"/>
  <c r="B510" i="8"/>
  <c r="B494" i="8"/>
  <c r="B480" i="8"/>
  <c r="B468" i="8"/>
  <c r="B452" i="8"/>
  <c r="B438" i="8"/>
  <c r="B424" i="8"/>
  <c r="B408" i="8"/>
  <c r="B396" i="8"/>
  <c r="B382" i="8"/>
  <c r="B366" i="8"/>
  <c r="B352" i="8"/>
  <c r="B340" i="8"/>
  <c r="B324" i="8"/>
  <c r="B310" i="8"/>
  <c r="B296" i="8"/>
  <c r="B280" i="8"/>
  <c r="B268" i="8"/>
  <c r="B254" i="8"/>
  <c r="B238" i="8"/>
  <c r="B224" i="8"/>
  <c r="B212" i="8"/>
  <c r="B196" i="8"/>
  <c r="B180" i="8"/>
  <c r="B160" i="8"/>
  <c r="B145" i="8"/>
  <c r="B127" i="8"/>
  <c r="B108" i="8"/>
  <c r="B86" i="8"/>
  <c r="B64" i="8"/>
  <c r="B38" i="8"/>
  <c r="B15" i="8"/>
  <c r="B956" i="8"/>
  <c r="B940" i="8"/>
  <c r="B932" i="8"/>
  <c r="B916" i="8"/>
  <c r="B908" i="8"/>
  <c r="B900" i="8"/>
  <c r="B892" i="8"/>
  <c r="B884" i="8"/>
  <c r="B876" i="8"/>
  <c r="B868" i="8"/>
  <c r="B860" i="8"/>
  <c r="B850" i="8"/>
  <c r="B840" i="8"/>
  <c r="B828" i="8"/>
  <c r="B818" i="8"/>
  <c r="B808" i="8"/>
  <c r="B796" i="8"/>
  <c r="B786" i="8"/>
  <c r="B776" i="8"/>
  <c r="B764" i="8"/>
  <c r="B754" i="8"/>
  <c r="B744" i="8"/>
  <c r="B732" i="8"/>
  <c r="B722" i="8"/>
  <c r="B712" i="8"/>
  <c r="B700" i="8"/>
  <c r="B690" i="8"/>
  <c r="B680" i="8"/>
  <c r="B668" i="8"/>
  <c r="B658" i="8"/>
  <c r="B648" i="8"/>
  <c r="B632" i="8"/>
  <c r="B620" i="8"/>
  <c r="B606" i="8"/>
  <c r="B590" i="8"/>
  <c r="B576" i="8"/>
  <c r="B564" i="8"/>
  <c r="B548" i="8"/>
  <c r="B534" i="8"/>
  <c r="B520" i="8"/>
  <c r="B504" i="8"/>
  <c r="B492" i="8"/>
  <c r="B478" i="8"/>
  <c r="B462" i="8"/>
  <c r="B448" i="8"/>
  <c r="B436" i="8"/>
  <c r="B420" i="8"/>
  <c r="B406" i="8"/>
  <c r="B392" i="8"/>
  <c r="B376" i="8"/>
  <c r="B364" i="8"/>
  <c r="B350" i="8"/>
  <c r="B334" i="8"/>
  <c r="B320" i="8"/>
  <c r="B308" i="8"/>
  <c r="B292" i="8"/>
  <c r="B278" i="8"/>
  <c r="B264" i="8"/>
  <c r="B248" i="8"/>
  <c r="B236" i="8"/>
  <c r="B222" i="8"/>
  <c r="B206" i="8"/>
  <c r="B191" i="8"/>
  <c r="B174" i="8"/>
  <c r="B158" i="8"/>
  <c r="B140" i="8"/>
  <c r="B125" i="8"/>
  <c r="B104" i="8"/>
  <c r="B84" i="8"/>
  <c r="B62" i="8"/>
  <c r="B854" i="8"/>
  <c r="B846" i="8"/>
  <c r="B838" i="8"/>
  <c r="B830" i="8"/>
  <c r="B822" i="8"/>
  <c r="B814" i="8"/>
  <c r="B806" i="8"/>
  <c r="B798" i="8"/>
  <c r="B790" i="8"/>
  <c r="B782" i="8"/>
  <c r="B774" i="8"/>
  <c r="B766" i="8"/>
  <c r="B758" i="8"/>
  <c r="B750" i="8"/>
  <c r="B742" i="8"/>
  <c r="B734" i="8"/>
  <c r="B726" i="8"/>
  <c r="B718" i="8"/>
  <c r="B710" i="8"/>
  <c r="B702" i="8"/>
  <c r="B694" i="8"/>
  <c r="B686" i="8"/>
  <c r="B678" i="8"/>
  <c r="B670" i="8"/>
  <c r="B662" i="8"/>
  <c r="B654" i="8"/>
  <c r="B646" i="8"/>
  <c r="B636" i="8"/>
  <c r="B624" i="8"/>
  <c r="B614" i="8"/>
  <c r="B604" i="8"/>
  <c r="B592" i="8"/>
  <c r="B582" i="8"/>
  <c r="B572" i="8"/>
  <c r="B560" i="8"/>
  <c r="B550" i="8"/>
  <c r="B540" i="8"/>
  <c r="B528" i="8"/>
  <c r="B518" i="8"/>
  <c r="B508" i="8"/>
  <c r="B496" i="8"/>
  <c r="B486" i="8"/>
  <c r="B476" i="8"/>
  <c r="B464" i="8"/>
  <c r="B454" i="8"/>
  <c r="B444" i="8"/>
  <c r="B432" i="8"/>
  <c r="B422" i="8"/>
  <c r="B412" i="8"/>
  <c r="B400" i="8"/>
  <c r="B390" i="8"/>
  <c r="B380" i="8"/>
  <c r="B368" i="8"/>
  <c r="B358" i="8"/>
  <c r="B348" i="8"/>
  <c r="B336" i="8"/>
  <c r="B326" i="8"/>
  <c r="B316" i="8"/>
  <c r="B304" i="8"/>
  <c r="B294" i="8"/>
  <c r="B284" i="8"/>
  <c r="B272" i="8"/>
  <c r="B262" i="8"/>
  <c r="B252" i="8"/>
  <c r="B240" i="8"/>
  <c r="B230" i="8"/>
  <c r="B220" i="8"/>
  <c r="B208" i="8"/>
  <c r="B198" i="8"/>
  <c r="B188" i="8"/>
  <c r="B176" i="8"/>
  <c r="B166" i="8"/>
  <c r="B156" i="8"/>
  <c r="B144" i="8"/>
  <c r="B134" i="8"/>
  <c r="B124" i="8"/>
  <c r="B112" i="8"/>
  <c r="B102" i="8"/>
  <c r="B92" i="8"/>
  <c r="B80" i="8"/>
  <c r="B70" i="8"/>
  <c r="B60" i="8"/>
  <c r="B46" i="8"/>
  <c r="B30" i="8"/>
  <c r="B14" i="8"/>
  <c r="B853" i="8"/>
  <c r="B845" i="8"/>
  <c r="B837" i="8"/>
  <c r="B829" i="8"/>
  <c r="B821" i="8"/>
  <c r="B813" i="8"/>
  <c r="B805" i="8"/>
  <c r="B797" i="8"/>
  <c r="B789" i="8"/>
  <c r="B781" i="8"/>
  <c r="B773" i="8"/>
  <c r="B765" i="8"/>
  <c r="B757" i="8"/>
  <c r="B749" i="8"/>
  <c r="B741" i="8"/>
  <c r="B733" i="8"/>
  <c r="B725" i="8"/>
  <c r="B717" i="8"/>
  <c r="B709" i="8"/>
  <c r="B701" i="8"/>
  <c r="B693" i="8"/>
  <c r="B685" i="8"/>
  <c r="B677" i="8"/>
  <c r="B669" i="8"/>
  <c r="B661" i="8"/>
  <c r="B653" i="8"/>
  <c r="B645" i="8"/>
  <c r="B633" i="8"/>
  <c r="B623" i="8"/>
  <c r="B613" i="8"/>
  <c r="B601" i="8"/>
  <c r="B591" i="8"/>
  <c r="B581" i="8"/>
  <c r="B569" i="8"/>
  <c r="B559" i="8"/>
  <c r="B549" i="8"/>
  <c r="B537" i="8"/>
  <c r="B527" i="8"/>
  <c r="B517" i="8"/>
  <c r="B505" i="8"/>
  <c r="B495" i="8"/>
  <c r="B485" i="8"/>
  <c r="B473" i="8"/>
  <c r="B463" i="8"/>
  <c r="B453" i="8"/>
  <c r="B441" i="8"/>
  <c r="B431" i="8"/>
  <c r="B421" i="8"/>
  <c r="B409" i="8"/>
  <c r="B399" i="8"/>
  <c r="B389" i="8"/>
  <c r="B377" i="8"/>
  <c r="B367" i="8"/>
  <c r="B357" i="8"/>
  <c r="B345" i="8"/>
  <c r="B335" i="8"/>
  <c r="B325" i="8"/>
  <c r="B313" i="8"/>
  <c r="B303" i="8"/>
  <c r="B293" i="8"/>
  <c r="B281" i="8"/>
  <c r="B271" i="8"/>
  <c r="B261" i="8"/>
  <c r="B249" i="8"/>
  <c r="B239" i="8"/>
  <c r="B229" i="8"/>
  <c r="B217" i="8"/>
  <c r="B207" i="8"/>
  <c r="B197" i="8"/>
  <c r="B185" i="8"/>
  <c r="B175" i="8"/>
  <c r="B165" i="8"/>
  <c r="B153" i="8"/>
  <c r="B143" i="8"/>
  <c r="B133" i="8"/>
  <c r="B121" i="8"/>
  <c r="B111" i="8"/>
  <c r="B101" i="8"/>
  <c r="B89" i="8"/>
  <c r="B79" i="8"/>
  <c r="B69" i="8"/>
  <c r="B57" i="8"/>
  <c r="B45" i="8"/>
  <c r="B29" i="8"/>
  <c r="B13" i="8"/>
  <c r="B12" i="8"/>
  <c r="B193" i="8"/>
  <c r="B183" i="8"/>
  <c r="B173" i="8"/>
  <c r="B161" i="8"/>
  <c r="B151" i="8"/>
  <c r="B141" i="8"/>
  <c r="B129" i="8"/>
  <c r="B119" i="8"/>
  <c r="B109" i="8"/>
  <c r="B97" i="8"/>
  <c r="B87" i="8"/>
  <c r="B77" i="8"/>
  <c r="B65" i="8"/>
  <c r="B55" i="8"/>
  <c r="B39" i="8"/>
  <c r="B23" i="8"/>
  <c r="B7" i="8"/>
  <c r="B8" i="8"/>
  <c r="B113" i="8"/>
  <c r="B103" i="8"/>
  <c r="B93" i="8"/>
  <c r="B81" i="8"/>
  <c r="B71" i="8"/>
  <c r="B61" i="8"/>
  <c r="B47" i="8"/>
  <c r="B31" i="8"/>
  <c r="B643" i="8"/>
  <c r="B635" i="8"/>
  <c r="B627" i="8"/>
  <c r="B619" i="8"/>
  <c r="B611" i="8"/>
  <c r="B603" i="8"/>
  <c r="B595" i="8"/>
  <c r="B587" i="8"/>
  <c r="B579" i="8"/>
  <c r="B571" i="8"/>
  <c r="B563" i="8"/>
  <c r="B555" i="8"/>
  <c r="B547" i="8"/>
  <c r="B539" i="8"/>
  <c r="B531" i="8"/>
  <c r="B523" i="8"/>
  <c r="B515" i="8"/>
  <c r="B507" i="8"/>
  <c r="B499" i="8"/>
  <c r="B491" i="8"/>
  <c r="B483" i="8"/>
  <c r="B475" i="8"/>
  <c r="B467" i="8"/>
  <c r="B459" i="8"/>
  <c r="B451" i="8"/>
  <c r="B443" i="8"/>
  <c r="B435" i="8"/>
  <c r="B427" i="8"/>
  <c r="B419" i="8"/>
  <c r="B411" i="8"/>
  <c r="B403" i="8"/>
  <c r="B395" i="8"/>
  <c r="B387" i="8"/>
  <c r="B379" i="8"/>
  <c r="B371" i="8"/>
  <c r="B363" i="8"/>
  <c r="B355" i="8"/>
  <c r="B347" i="8"/>
  <c r="B339" i="8"/>
  <c r="B331" i="8"/>
  <c r="B323" i="8"/>
  <c r="B315" i="8"/>
  <c r="B307" i="8"/>
  <c r="B299" i="8"/>
  <c r="B291" i="8"/>
  <c r="B283" i="8"/>
  <c r="B275" i="8"/>
  <c r="B267" i="8"/>
  <c r="B259" i="8"/>
  <c r="B251" i="8"/>
  <c r="B243" i="8"/>
  <c r="B235" i="8"/>
  <c r="B227" i="8"/>
  <c r="B219" i="8"/>
  <c r="B211" i="8"/>
  <c r="B203" i="8"/>
  <c r="B195" i="8"/>
  <c r="B187" i="8"/>
  <c r="B179" i="8"/>
  <c r="B171" i="8"/>
  <c r="B163" i="8"/>
  <c r="B155" i="8"/>
  <c r="B147" i="8"/>
  <c r="B139" i="8"/>
  <c r="B131" i="8"/>
  <c r="B123" i="8"/>
  <c r="B115" i="8"/>
  <c r="B107" i="8"/>
  <c r="B99" i="8"/>
  <c r="B91" i="8"/>
  <c r="B83" i="8"/>
  <c r="B75" i="8"/>
  <c r="B67" i="8"/>
  <c r="B59" i="8"/>
  <c r="B51" i="8"/>
  <c r="B43" i="8"/>
  <c r="B35" i="8"/>
  <c r="B27" i="8"/>
  <c r="B19" i="8"/>
  <c r="B11" i="8"/>
  <c r="B642" i="8"/>
  <c r="B634" i="8"/>
  <c r="B626" i="8"/>
  <c r="B618" i="8"/>
  <c r="B610" i="8"/>
  <c r="B602" i="8"/>
  <c r="B594" i="8"/>
  <c r="B586" i="8"/>
  <c r="B578" i="8"/>
  <c r="B570" i="8"/>
  <c r="B562" i="8"/>
  <c r="B554" i="8"/>
  <c r="B546" i="8"/>
  <c r="B538" i="8"/>
  <c r="B530" i="8"/>
  <c r="B522" i="8"/>
  <c r="B514" i="8"/>
  <c r="B506" i="8"/>
  <c r="B498" i="8"/>
  <c r="B490" i="8"/>
  <c r="B482" i="8"/>
  <c r="B474" i="8"/>
  <c r="B466" i="8"/>
  <c r="B458" i="8"/>
  <c r="B450" i="8"/>
  <c r="B442" i="8"/>
  <c r="B434" i="8"/>
  <c r="B426" i="8"/>
  <c r="B418" i="8"/>
  <c r="B410" i="8"/>
  <c r="B402" i="8"/>
  <c r="B394" i="8"/>
  <c r="B386" i="8"/>
  <c r="B378" i="8"/>
  <c r="B370" i="8"/>
  <c r="B362" i="8"/>
  <c r="B354" i="8"/>
  <c r="B346" i="8"/>
  <c r="B338" i="8"/>
  <c r="B330" i="8"/>
  <c r="B322" i="8"/>
  <c r="B314" i="8"/>
  <c r="B306" i="8"/>
  <c r="B298" i="8"/>
  <c r="B290" i="8"/>
  <c r="B282" i="8"/>
  <c r="B274" i="8"/>
  <c r="B266" i="8"/>
  <c r="B258" i="8"/>
  <c r="B250" i="8"/>
  <c r="B242" i="8"/>
  <c r="B234" i="8"/>
  <c r="B226" i="8"/>
  <c r="B218" i="8"/>
  <c r="B210" i="8"/>
  <c r="B202" i="8"/>
  <c r="B194" i="8"/>
  <c r="B186" i="8"/>
  <c r="B178" i="8"/>
  <c r="B170" i="8"/>
  <c r="B162" i="8"/>
  <c r="B154" i="8"/>
  <c r="B146" i="8"/>
  <c r="B138" i="8"/>
  <c r="B130" i="8"/>
  <c r="B122" i="8"/>
  <c r="B114" i="8"/>
  <c r="B106" i="8"/>
  <c r="B98" i="8"/>
  <c r="B90" i="8"/>
  <c r="B82" i="8"/>
  <c r="B74" i="8"/>
  <c r="B66" i="8"/>
  <c r="B58" i="8"/>
  <c r="B50" i="8"/>
  <c r="B42" i="8"/>
  <c r="B34" i="8"/>
  <c r="B26" i="8"/>
  <c r="B18" i="8"/>
  <c r="B10" i="8"/>
  <c r="B49" i="8"/>
  <c r="B41" i="8"/>
  <c r="B33" i="8"/>
  <c r="B25" i="8"/>
  <c r="B17" i="8"/>
  <c r="B9" i="8"/>
  <c r="B48" i="8"/>
  <c r="B40" i="8"/>
  <c r="B32" i="8"/>
  <c r="B24" i="8"/>
  <c r="B16" i="8"/>
  <c r="B5" i="8"/>
  <c r="B9" i="3"/>
  <c r="B8" i="3"/>
  <c r="B6" i="3"/>
  <c r="D7" i="2" l="1"/>
  <c r="E7" i="2"/>
  <c r="F7" i="2"/>
  <c r="G7" i="2"/>
  <c r="H7" i="2"/>
  <c r="I7" i="2"/>
  <c r="J7" i="2"/>
  <c r="K7" i="2"/>
  <c r="L7" i="2"/>
  <c r="C7" i="2"/>
  <c r="H15" i="8" l="1"/>
  <c r="H5" i="8"/>
  <c r="H12" i="8"/>
  <c r="H13" i="8"/>
  <c r="H11" i="8"/>
  <c r="H14" i="8"/>
  <c r="H6" i="8"/>
  <c r="H7" i="8"/>
  <c r="H8" i="8"/>
  <c r="H9" i="8"/>
  <c r="H10" i="8"/>
  <c r="E11" i="2"/>
  <c r="F11" i="2"/>
  <c r="G11" i="2"/>
  <c r="H11" i="2"/>
  <c r="I11" i="2"/>
  <c r="J11" i="2"/>
  <c r="K11" i="2"/>
  <c r="L11" i="2"/>
  <c r="D11" i="2"/>
  <c r="C11" i="2"/>
  <c r="C15" i="12" l="1" a="1"/>
  <c r="C15" i="12" s="1"/>
  <c r="C5" i="8"/>
  <c r="C6" i="8"/>
  <c r="C14" i="8"/>
  <c r="C22" i="8"/>
  <c r="C30" i="8"/>
  <c r="C38" i="8"/>
  <c r="C46" i="8"/>
  <c r="C54" i="8"/>
  <c r="C62" i="8"/>
  <c r="C70" i="8"/>
  <c r="C78" i="8"/>
  <c r="C86" i="8"/>
  <c r="C94" i="8"/>
  <c r="C102" i="8"/>
  <c r="C110" i="8"/>
  <c r="C118" i="8"/>
  <c r="C126" i="8"/>
  <c r="C134" i="8"/>
  <c r="C142" i="8"/>
  <c r="C150" i="8"/>
  <c r="C158" i="8"/>
  <c r="C166" i="8"/>
  <c r="C174" i="8"/>
  <c r="C182" i="8"/>
  <c r="C190" i="8"/>
  <c r="C198" i="8"/>
  <c r="C206" i="8"/>
  <c r="C214" i="8"/>
  <c r="C222" i="8"/>
  <c r="C230" i="8"/>
  <c r="C238" i="8"/>
  <c r="C246" i="8"/>
  <c r="C254" i="8"/>
  <c r="C262" i="8"/>
  <c r="C270" i="8"/>
  <c r="C278" i="8"/>
  <c r="C286" i="8"/>
  <c r="C294" i="8"/>
  <c r="C302" i="8"/>
  <c r="C310" i="8"/>
  <c r="C318" i="8"/>
  <c r="C326" i="8"/>
  <c r="C334" i="8"/>
  <c r="C342" i="8"/>
  <c r="C350" i="8"/>
  <c r="C358" i="8"/>
  <c r="C366" i="8"/>
  <c r="C374" i="8"/>
  <c r="C382" i="8"/>
  <c r="C390" i="8"/>
  <c r="C398" i="8"/>
  <c r="C406" i="8"/>
  <c r="C414" i="8"/>
  <c r="C422" i="8"/>
  <c r="C430" i="8"/>
  <c r="C438" i="8"/>
  <c r="C446" i="8"/>
  <c r="C454" i="8"/>
  <c r="C462" i="8"/>
  <c r="C470" i="8"/>
  <c r="C478" i="8"/>
  <c r="C486" i="8"/>
  <c r="C494" i="8"/>
  <c r="C502" i="8"/>
  <c r="C510" i="8"/>
  <c r="C518" i="8"/>
  <c r="C526" i="8"/>
  <c r="C534" i="8"/>
  <c r="C542" i="8"/>
  <c r="C550" i="8"/>
  <c r="C558" i="8"/>
  <c r="C566" i="8"/>
  <c r="C574" i="8"/>
  <c r="C582" i="8"/>
  <c r="C7" i="8"/>
  <c r="C15" i="8"/>
  <c r="C23" i="8"/>
  <c r="C31" i="8"/>
  <c r="C39" i="8"/>
  <c r="C47" i="8"/>
  <c r="C55" i="8"/>
  <c r="C63" i="8"/>
  <c r="C71" i="8"/>
  <c r="C79" i="8"/>
  <c r="C87" i="8"/>
  <c r="C95" i="8"/>
  <c r="C103" i="8"/>
  <c r="C111" i="8"/>
  <c r="C119" i="8"/>
  <c r="C127" i="8"/>
  <c r="C135" i="8"/>
  <c r="C143" i="8"/>
  <c r="C151" i="8"/>
  <c r="C159" i="8"/>
  <c r="C167" i="8"/>
  <c r="C175" i="8"/>
  <c r="C183" i="8"/>
  <c r="C191" i="8"/>
  <c r="C199" i="8"/>
  <c r="C207" i="8"/>
  <c r="C215" i="8"/>
  <c r="C223" i="8"/>
  <c r="C231" i="8"/>
  <c r="C239" i="8"/>
  <c r="C247" i="8"/>
  <c r="C255" i="8"/>
  <c r="C263" i="8"/>
  <c r="C271" i="8"/>
  <c r="C279" i="8"/>
  <c r="C287" i="8"/>
  <c r="C295" i="8"/>
  <c r="C303" i="8"/>
  <c r="C311" i="8"/>
  <c r="C319" i="8"/>
  <c r="C327" i="8"/>
  <c r="C335" i="8"/>
  <c r="C343" i="8"/>
  <c r="C351" i="8"/>
  <c r="C359" i="8"/>
  <c r="C367" i="8"/>
  <c r="C375" i="8"/>
  <c r="C383" i="8"/>
  <c r="C391" i="8"/>
  <c r="C399" i="8"/>
  <c r="C407" i="8"/>
  <c r="C415" i="8"/>
  <c r="C423" i="8"/>
  <c r="C431" i="8"/>
  <c r="C439" i="8"/>
  <c r="C447" i="8"/>
  <c r="C455" i="8"/>
  <c r="C463" i="8"/>
  <c r="C471" i="8"/>
  <c r="C479" i="8"/>
  <c r="C487" i="8"/>
  <c r="C495" i="8"/>
  <c r="C503" i="8"/>
  <c r="C511" i="8"/>
  <c r="C519" i="8"/>
  <c r="C527" i="8"/>
  <c r="C535" i="8"/>
  <c r="C543" i="8"/>
  <c r="C551" i="8"/>
  <c r="C559" i="8"/>
  <c r="C567" i="8"/>
  <c r="C575" i="8"/>
  <c r="C583" i="8"/>
  <c r="C8" i="8"/>
  <c r="C16" i="8"/>
  <c r="C24" i="8"/>
  <c r="C32" i="8"/>
  <c r="C40" i="8"/>
  <c r="C48" i="8"/>
  <c r="C56" i="8"/>
  <c r="C64" i="8"/>
  <c r="C72" i="8"/>
  <c r="C80" i="8"/>
  <c r="C88" i="8"/>
  <c r="C96" i="8"/>
  <c r="C104" i="8"/>
  <c r="C112" i="8"/>
  <c r="C120" i="8"/>
  <c r="C128" i="8"/>
  <c r="C136" i="8"/>
  <c r="C144" i="8"/>
  <c r="C152" i="8"/>
  <c r="C160" i="8"/>
  <c r="C168" i="8"/>
  <c r="C176" i="8"/>
  <c r="C184" i="8"/>
  <c r="C192" i="8"/>
  <c r="C200" i="8"/>
  <c r="C208" i="8"/>
  <c r="C216" i="8"/>
  <c r="C224" i="8"/>
  <c r="C232" i="8"/>
  <c r="C240" i="8"/>
  <c r="C248" i="8"/>
  <c r="C256" i="8"/>
  <c r="C264" i="8"/>
  <c r="C272" i="8"/>
  <c r="C280" i="8"/>
  <c r="C288" i="8"/>
  <c r="C296" i="8"/>
  <c r="C304" i="8"/>
  <c r="C312" i="8"/>
  <c r="C320" i="8"/>
  <c r="C328" i="8"/>
  <c r="C336" i="8"/>
  <c r="C344" i="8"/>
  <c r="C352" i="8"/>
  <c r="C360" i="8"/>
  <c r="C368" i="8"/>
  <c r="C376" i="8"/>
  <c r="C384" i="8"/>
  <c r="C392" i="8"/>
  <c r="C400" i="8"/>
  <c r="C408" i="8"/>
  <c r="C416" i="8"/>
  <c r="C424" i="8"/>
  <c r="C432" i="8"/>
  <c r="C440" i="8"/>
  <c r="C448" i="8"/>
  <c r="C456" i="8"/>
  <c r="C464" i="8"/>
  <c r="C472" i="8"/>
  <c r="C480" i="8"/>
  <c r="C488" i="8"/>
  <c r="C496" i="8"/>
  <c r="C504" i="8"/>
  <c r="C512" i="8"/>
  <c r="C520" i="8"/>
  <c r="C528" i="8"/>
  <c r="C536" i="8"/>
  <c r="C544" i="8"/>
  <c r="C552" i="8"/>
  <c r="C560" i="8"/>
  <c r="C568" i="8"/>
  <c r="C576" i="8"/>
  <c r="C584" i="8"/>
  <c r="C592" i="8"/>
  <c r="C600" i="8"/>
  <c r="C608" i="8"/>
  <c r="C616" i="8"/>
  <c r="C624" i="8"/>
  <c r="C632" i="8"/>
  <c r="C640" i="8"/>
  <c r="C648" i="8"/>
  <c r="C656" i="8"/>
  <c r="C664" i="8"/>
  <c r="C672" i="8"/>
  <c r="C680" i="8"/>
  <c r="C9" i="8"/>
  <c r="C17" i="8"/>
  <c r="C25" i="8"/>
  <c r="C33" i="8"/>
  <c r="C41" i="8"/>
  <c r="C49" i="8"/>
  <c r="C57" i="8"/>
  <c r="C65" i="8"/>
  <c r="C73" i="8"/>
  <c r="C81" i="8"/>
  <c r="C89" i="8"/>
  <c r="C97" i="8"/>
  <c r="C105" i="8"/>
  <c r="C113" i="8"/>
  <c r="C121" i="8"/>
  <c r="C129" i="8"/>
  <c r="C137" i="8"/>
  <c r="C145" i="8"/>
  <c r="C153" i="8"/>
  <c r="C161" i="8"/>
  <c r="C169" i="8"/>
  <c r="C177" i="8"/>
  <c r="C185" i="8"/>
  <c r="C193" i="8"/>
  <c r="C201" i="8"/>
  <c r="C209" i="8"/>
  <c r="C217" i="8"/>
  <c r="C225" i="8"/>
  <c r="C233" i="8"/>
  <c r="C241" i="8"/>
  <c r="C249" i="8"/>
  <c r="C257" i="8"/>
  <c r="C265" i="8"/>
  <c r="C273" i="8"/>
  <c r="C281" i="8"/>
  <c r="C289" i="8"/>
  <c r="C297" i="8"/>
  <c r="C305" i="8"/>
  <c r="C313" i="8"/>
  <c r="C321" i="8"/>
  <c r="C329" i="8"/>
  <c r="C337" i="8"/>
  <c r="C345" i="8"/>
  <c r="C353" i="8"/>
  <c r="C361" i="8"/>
  <c r="C369" i="8"/>
  <c r="C377" i="8"/>
  <c r="C385" i="8"/>
  <c r="C393" i="8"/>
  <c r="C401" i="8"/>
  <c r="C409" i="8"/>
  <c r="C417" i="8"/>
  <c r="C425" i="8"/>
  <c r="C433" i="8"/>
  <c r="C441" i="8"/>
  <c r="C449" i="8"/>
  <c r="C457" i="8"/>
  <c r="C465" i="8"/>
  <c r="C473" i="8"/>
  <c r="C481" i="8"/>
  <c r="C489" i="8"/>
  <c r="C497" i="8"/>
  <c r="C505" i="8"/>
  <c r="C513" i="8"/>
  <c r="C521" i="8"/>
  <c r="C529" i="8"/>
  <c r="C537" i="8"/>
  <c r="C545" i="8"/>
  <c r="C553" i="8"/>
  <c r="C561" i="8"/>
  <c r="C569" i="8"/>
  <c r="C577" i="8"/>
  <c r="C585" i="8"/>
  <c r="C593" i="8"/>
  <c r="C601" i="8"/>
  <c r="C609" i="8"/>
  <c r="C617" i="8"/>
  <c r="C625" i="8"/>
  <c r="C633" i="8"/>
  <c r="C641" i="8"/>
  <c r="C649" i="8"/>
  <c r="C657" i="8"/>
  <c r="C665" i="8"/>
  <c r="C673" i="8"/>
  <c r="C681" i="8"/>
  <c r="C10" i="8"/>
  <c r="C18" i="8"/>
  <c r="C26" i="8"/>
  <c r="C34" i="8"/>
  <c r="C42" i="8"/>
  <c r="C50" i="8"/>
  <c r="C58" i="8"/>
  <c r="C66" i="8"/>
  <c r="C74" i="8"/>
  <c r="C82" i="8"/>
  <c r="C90" i="8"/>
  <c r="C98" i="8"/>
  <c r="C106" i="8"/>
  <c r="C114" i="8"/>
  <c r="C122" i="8"/>
  <c r="C130" i="8"/>
  <c r="C138" i="8"/>
  <c r="C146" i="8"/>
  <c r="C154" i="8"/>
  <c r="C162" i="8"/>
  <c r="C170" i="8"/>
  <c r="C178" i="8"/>
  <c r="C186" i="8"/>
  <c r="C194" i="8"/>
  <c r="C202" i="8"/>
  <c r="C210" i="8"/>
  <c r="C218" i="8"/>
  <c r="C226" i="8"/>
  <c r="C234" i="8"/>
  <c r="C242" i="8"/>
  <c r="C250" i="8"/>
  <c r="C258" i="8"/>
  <c r="C266" i="8"/>
  <c r="C274" i="8"/>
  <c r="C282" i="8"/>
  <c r="C290" i="8"/>
  <c r="C298" i="8"/>
  <c r="C306" i="8"/>
  <c r="C314" i="8"/>
  <c r="C322" i="8"/>
  <c r="C330" i="8"/>
  <c r="C338" i="8"/>
  <c r="C346" i="8"/>
  <c r="C354" i="8"/>
  <c r="C362" i="8"/>
  <c r="C370" i="8"/>
  <c r="C378" i="8"/>
  <c r="C386" i="8"/>
  <c r="C394" i="8"/>
  <c r="C402" i="8"/>
  <c r="C410" i="8"/>
  <c r="C418" i="8"/>
  <c r="C426" i="8"/>
  <c r="C434" i="8"/>
  <c r="C442" i="8"/>
  <c r="C450" i="8"/>
  <c r="C458" i="8"/>
  <c r="C466" i="8"/>
  <c r="C474" i="8"/>
  <c r="C482" i="8"/>
  <c r="C490" i="8"/>
  <c r="C498" i="8"/>
  <c r="C506" i="8"/>
  <c r="C514" i="8"/>
  <c r="C522" i="8"/>
  <c r="C530" i="8"/>
  <c r="C538" i="8"/>
  <c r="C546" i="8"/>
  <c r="C554" i="8"/>
  <c r="C562" i="8"/>
  <c r="C570" i="8"/>
  <c r="C578" i="8"/>
  <c r="C586" i="8"/>
  <c r="C594" i="8"/>
  <c r="C602" i="8"/>
  <c r="C610" i="8"/>
  <c r="C618" i="8"/>
  <c r="C626" i="8"/>
  <c r="C634" i="8"/>
  <c r="C642" i="8"/>
  <c r="C650" i="8"/>
  <c r="C658" i="8"/>
  <c r="C666" i="8"/>
  <c r="C674" i="8"/>
  <c r="C682" i="8"/>
  <c r="C11" i="8"/>
  <c r="C19" i="8"/>
  <c r="C27" i="8"/>
  <c r="C35" i="8"/>
  <c r="C43" i="8"/>
  <c r="C51" i="8"/>
  <c r="C59" i="8"/>
  <c r="C67" i="8"/>
  <c r="C75" i="8"/>
  <c r="C83" i="8"/>
  <c r="C91" i="8"/>
  <c r="C99" i="8"/>
  <c r="C107" i="8"/>
  <c r="C115" i="8"/>
  <c r="C123" i="8"/>
  <c r="C131" i="8"/>
  <c r="C139" i="8"/>
  <c r="C147" i="8"/>
  <c r="C155" i="8"/>
  <c r="C163" i="8"/>
  <c r="C171" i="8"/>
  <c r="C179" i="8"/>
  <c r="C187" i="8"/>
  <c r="C195" i="8"/>
  <c r="C203" i="8"/>
  <c r="C211" i="8"/>
  <c r="C219" i="8"/>
  <c r="C227" i="8"/>
  <c r="C235" i="8"/>
  <c r="C243" i="8"/>
  <c r="C251" i="8"/>
  <c r="C259" i="8"/>
  <c r="C267" i="8"/>
  <c r="C275" i="8"/>
  <c r="C283" i="8"/>
  <c r="C291" i="8"/>
  <c r="C299" i="8"/>
  <c r="C307" i="8"/>
  <c r="C315" i="8"/>
  <c r="C323" i="8"/>
  <c r="C331" i="8"/>
  <c r="C339" i="8"/>
  <c r="C347" i="8"/>
  <c r="C355" i="8"/>
  <c r="C363" i="8"/>
  <c r="C371" i="8"/>
  <c r="C379" i="8"/>
  <c r="C387" i="8"/>
  <c r="C395" i="8"/>
  <c r="C403" i="8"/>
  <c r="C411" i="8"/>
  <c r="C419" i="8"/>
  <c r="C427" i="8"/>
  <c r="C435" i="8"/>
  <c r="C443" i="8"/>
  <c r="C451" i="8"/>
  <c r="C459" i="8"/>
  <c r="C467" i="8"/>
  <c r="C475" i="8"/>
  <c r="C483" i="8"/>
  <c r="C491" i="8"/>
  <c r="C499" i="8"/>
  <c r="C507" i="8"/>
  <c r="C515" i="8"/>
  <c r="C523" i="8"/>
  <c r="C531" i="8"/>
  <c r="C539" i="8"/>
  <c r="C547" i="8"/>
  <c r="C555" i="8"/>
  <c r="C563" i="8"/>
  <c r="C571" i="8"/>
  <c r="C579" i="8"/>
  <c r="C587" i="8"/>
  <c r="C595" i="8"/>
  <c r="C603" i="8"/>
  <c r="C611" i="8"/>
  <c r="C619" i="8"/>
  <c r="C627" i="8"/>
  <c r="C635" i="8"/>
  <c r="C643" i="8"/>
  <c r="C651" i="8"/>
  <c r="C659" i="8"/>
  <c r="C667" i="8"/>
  <c r="C675" i="8"/>
  <c r="C683" i="8"/>
  <c r="C13" i="8"/>
  <c r="C21" i="8"/>
  <c r="C29" i="8"/>
  <c r="C37" i="8"/>
  <c r="C45" i="8"/>
  <c r="C53" i="8"/>
  <c r="C61" i="8"/>
  <c r="C69" i="8"/>
  <c r="C77" i="8"/>
  <c r="C85" i="8"/>
  <c r="C93" i="8"/>
  <c r="C101" i="8"/>
  <c r="C109" i="8"/>
  <c r="C117" i="8"/>
  <c r="C125" i="8"/>
  <c r="C133" i="8"/>
  <c r="C141" i="8"/>
  <c r="C149" i="8"/>
  <c r="C157" i="8"/>
  <c r="C165" i="8"/>
  <c r="C173" i="8"/>
  <c r="C181" i="8"/>
  <c r="C189" i="8"/>
  <c r="C197" i="8"/>
  <c r="C205" i="8"/>
  <c r="C213" i="8"/>
  <c r="C221" i="8"/>
  <c r="C229" i="8"/>
  <c r="C237" i="8"/>
  <c r="C245" i="8"/>
  <c r="C253" i="8"/>
  <c r="C261" i="8"/>
  <c r="C269" i="8"/>
  <c r="C277" i="8"/>
  <c r="C285" i="8"/>
  <c r="C293" i="8"/>
  <c r="C301" i="8"/>
  <c r="C309" i="8"/>
  <c r="C317" i="8"/>
  <c r="C325" i="8"/>
  <c r="C333" i="8"/>
  <c r="C341" i="8"/>
  <c r="C349" i="8"/>
  <c r="C357" i="8"/>
  <c r="C365" i="8"/>
  <c r="C373" i="8"/>
  <c r="C381" i="8"/>
  <c r="C389" i="8"/>
  <c r="C397" i="8"/>
  <c r="C405" i="8"/>
  <c r="C413" i="8"/>
  <c r="C421" i="8"/>
  <c r="C429" i="8"/>
  <c r="C437" i="8"/>
  <c r="C445" i="8"/>
  <c r="C453" i="8"/>
  <c r="C461" i="8"/>
  <c r="C469" i="8"/>
  <c r="C477" i="8"/>
  <c r="C485" i="8"/>
  <c r="C493" i="8"/>
  <c r="C501" i="8"/>
  <c r="C509" i="8"/>
  <c r="C517" i="8"/>
  <c r="C525" i="8"/>
  <c r="C533" i="8"/>
  <c r="C541" i="8"/>
  <c r="C549" i="8"/>
  <c r="C557" i="8"/>
  <c r="C565" i="8"/>
  <c r="C573" i="8"/>
  <c r="C581" i="8"/>
  <c r="C589" i="8"/>
  <c r="C597" i="8"/>
  <c r="C605" i="8"/>
  <c r="C613" i="8"/>
  <c r="C621" i="8"/>
  <c r="C629" i="8"/>
  <c r="C637" i="8"/>
  <c r="C645" i="8"/>
  <c r="C653" i="8"/>
  <c r="C661" i="8"/>
  <c r="C669" i="8"/>
  <c r="C677" i="8"/>
  <c r="C685" i="8"/>
  <c r="C12" i="8"/>
  <c r="C76" i="8"/>
  <c r="C140" i="8"/>
  <c r="C204" i="8"/>
  <c r="C268" i="8"/>
  <c r="C332" i="8"/>
  <c r="C396" i="8"/>
  <c r="C460" i="8"/>
  <c r="C524" i="8"/>
  <c r="C588" i="8"/>
  <c r="C607" i="8"/>
  <c r="C630" i="8"/>
  <c r="C652" i="8"/>
  <c r="C671" i="8"/>
  <c r="C689" i="8"/>
  <c r="C697" i="8"/>
  <c r="C705" i="8"/>
  <c r="C713" i="8"/>
  <c r="C721" i="8"/>
  <c r="C729" i="8"/>
  <c r="C737" i="8"/>
  <c r="C745" i="8"/>
  <c r="C753" i="8"/>
  <c r="C761" i="8"/>
  <c r="C769" i="8"/>
  <c r="C777" i="8"/>
  <c r="C785" i="8"/>
  <c r="C793" i="8"/>
  <c r="C801" i="8"/>
  <c r="C809" i="8"/>
  <c r="C817" i="8"/>
  <c r="C825" i="8"/>
  <c r="C833" i="8"/>
  <c r="C841" i="8"/>
  <c r="C849" i="8"/>
  <c r="C857" i="8"/>
  <c r="C865" i="8"/>
  <c r="C873" i="8"/>
  <c r="C881" i="8"/>
  <c r="C889" i="8"/>
  <c r="C897" i="8"/>
  <c r="C905" i="8"/>
  <c r="C913" i="8"/>
  <c r="C921" i="8"/>
  <c r="C929" i="8"/>
  <c r="C937" i="8"/>
  <c r="C945" i="8"/>
  <c r="C953" i="8"/>
  <c r="C961" i="8"/>
  <c r="C969" i="8"/>
  <c r="C977" i="8"/>
  <c r="C985" i="8"/>
  <c r="C993" i="8"/>
  <c r="C1001" i="8"/>
  <c r="C746" i="8"/>
  <c r="C786" i="8"/>
  <c r="C802" i="8"/>
  <c r="C818" i="8"/>
  <c r="C834" i="8"/>
  <c r="C850" i="8"/>
  <c r="C858" i="8"/>
  <c r="C874" i="8"/>
  <c r="C890" i="8"/>
  <c r="C906" i="8"/>
  <c r="C922" i="8"/>
  <c r="C938" i="8"/>
  <c r="C954" i="8"/>
  <c r="C970" i="8"/>
  <c r="C986" i="8"/>
  <c r="C994" i="8"/>
  <c r="C915" i="8"/>
  <c r="C947" i="8"/>
  <c r="C971" i="8"/>
  <c r="C995" i="8"/>
  <c r="C68" i="8"/>
  <c r="C452" i="8"/>
  <c r="C670" i="8"/>
  <c r="C736" i="8"/>
  <c r="C784" i="8"/>
  <c r="C832" i="8"/>
  <c r="C880" i="8"/>
  <c r="C928" i="8"/>
  <c r="C976" i="8"/>
  <c r="C20" i="8"/>
  <c r="C84" i="8"/>
  <c r="C148" i="8"/>
  <c r="C212" i="8"/>
  <c r="C276" i="8"/>
  <c r="C340" i="8"/>
  <c r="C404" i="8"/>
  <c r="C468" i="8"/>
  <c r="C532" i="8"/>
  <c r="C590" i="8"/>
  <c r="C612" i="8"/>
  <c r="C631" i="8"/>
  <c r="C654" i="8"/>
  <c r="C676" i="8"/>
  <c r="C690" i="8"/>
  <c r="C698" i="8"/>
  <c r="C706" i="8"/>
  <c r="C714" i="8"/>
  <c r="C722" i="8"/>
  <c r="C730" i="8"/>
  <c r="C738" i="8"/>
  <c r="C754" i="8"/>
  <c r="C762" i="8"/>
  <c r="C770" i="8"/>
  <c r="C778" i="8"/>
  <c r="C794" i="8"/>
  <c r="C810" i="8"/>
  <c r="C826" i="8"/>
  <c r="C842" i="8"/>
  <c r="C866" i="8"/>
  <c r="C882" i="8"/>
  <c r="C898" i="8"/>
  <c r="C914" i="8"/>
  <c r="C930" i="8"/>
  <c r="C946" i="8"/>
  <c r="C962" i="8"/>
  <c r="C978" i="8"/>
  <c r="C1002" i="8"/>
  <c r="C931" i="8"/>
  <c r="C955" i="8"/>
  <c r="C979" i="8"/>
  <c r="C1003" i="8"/>
  <c r="C999" i="8"/>
  <c r="C324" i="8"/>
  <c r="C628" i="8"/>
  <c r="C720" i="8"/>
  <c r="C776" i="8"/>
  <c r="C808" i="8"/>
  <c r="C848" i="8"/>
  <c r="C896" i="8"/>
  <c r="C960" i="8"/>
  <c r="C28" i="8"/>
  <c r="C92" i="8"/>
  <c r="C156" i="8"/>
  <c r="C220" i="8"/>
  <c r="C284" i="8"/>
  <c r="C348" i="8"/>
  <c r="C412" i="8"/>
  <c r="C476" i="8"/>
  <c r="C540" i="8"/>
  <c r="C591" i="8"/>
  <c r="C614" i="8"/>
  <c r="C636" i="8"/>
  <c r="C655" i="8"/>
  <c r="C678" i="8"/>
  <c r="C691" i="8"/>
  <c r="C699" i="8"/>
  <c r="C707" i="8"/>
  <c r="C715" i="8"/>
  <c r="C723" i="8"/>
  <c r="C731" i="8"/>
  <c r="C739" i="8"/>
  <c r="C747" i="8"/>
  <c r="C755" i="8"/>
  <c r="C763" i="8"/>
  <c r="C771" i="8"/>
  <c r="C779" i="8"/>
  <c r="C787" i="8"/>
  <c r="C795" i="8"/>
  <c r="C803" i="8"/>
  <c r="C811" i="8"/>
  <c r="C819" i="8"/>
  <c r="C827" i="8"/>
  <c r="C835" i="8"/>
  <c r="C843" i="8"/>
  <c r="C851" i="8"/>
  <c r="C859" i="8"/>
  <c r="C867" i="8"/>
  <c r="C875" i="8"/>
  <c r="C883" i="8"/>
  <c r="C891" i="8"/>
  <c r="C899" i="8"/>
  <c r="C907" i="8"/>
  <c r="C923" i="8"/>
  <c r="C939" i="8"/>
  <c r="C963" i="8"/>
  <c r="C987" i="8"/>
  <c r="C991" i="8"/>
  <c r="C132" i="8"/>
  <c r="C647" i="8"/>
  <c r="C712" i="8"/>
  <c r="C744" i="8"/>
  <c r="C800" i="8"/>
  <c r="C856" i="8"/>
  <c r="C904" i="8"/>
  <c r="C944" i="8"/>
  <c r="C992" i="8"/>
  <c r="C36" i="8"/>
  <c r="C100" i="8"/>
  <c r="C164" i="8"/>
  <c r="C228" i="8"/>
  <c r="C292" i="8"/>
  <c r="C356" i="8"/>
  <c r="C420" i="8"/>
  <c r="C484" i="8"/>
  <c r="C548" i="8"/>
  <c r="C596" i="8"/>
  <c r="C615" i="8"/>
  <c r="C638" i="8"/>
  <c r="C660" i="8"/>
  <c r="C679" i="8"/>
  <c r="C692" i="8"/>
  <c r="C700" i="8"/>
  <c r="C708" i="8"/>
  <c r="C716" i="8"/>
  <c r="C724" i="8"/>
  <c r="C732" i="8"/>
  <c r="C740" i="8"/>
  <c r="C748" i="8"/>
  <c r="C756" i="8"/>
  <c r="C764" i="8"/>
  <c r="C772" i="8"/>
  <c r="C780" i="8"/>
  <c r="C788" i="8"/>
  <c r="C796" i="8"/>
  <c r="C804" i="8"/>
  <c r="C812" i="8"/>
  <c r="C820" i="8"/>
  <c r="C828" i="8"/>
  <c r="C836" i="8"/>
  <c r="C844" i="8"/>
  <c r="C852" i="8"/>
  <c r="C860" i="8"/>
  <c r="C868" i="8"/>
  <c r="C876" i="8"/>
  <c r="C884" i="8"/>
  <c r="C892" i="8"/>
  <c r="C900" i="8"/>
  <c r="C908" i="8"/>
  <c r="C916" i="8"/>
  <c r="C924" i="8"/>
  <c r="C932" i="8"/>
  <c r="C940" i="8"/>
  <c r="C948" i="8"/>
  <c r="C956" i="8"/>
  <c r="C964" i="8"/>
  <c r="C972" i="8"/>
  <c r="C980" i="8"/>
  <c r="C988" i="8"/>
  <c r="C996" i="8"/>
  <c r="C1004" i="8"/>
  <c r="C997" i="8"/>
  <c r="C60" i="8"/>
  <c r="C380" i="8"/>
  <c r="C572" i="8"/>
  <c r="C668" i="8"/>
  <c r="C711" i="8"/>
  <c r="C735" i="8"/>
  <c r="C759" i="8"/>
  <c r="C783" i="8"/>
  <c r="C807" i="8"/>
  <c r="C831" i="8"/>
  <c r="C863" i="8"/>
  <c r="C887" i="8"/>
  <c r="C911" i="8"/>
  <c r="C935" i="8"/>
  <c r="C951" i="8"/>
  <c r="C967" i="8"/>
  <c r="C196" i="8"/>
  <c r="C516" i="8"/>
  <c r="C688" i="8"/>
  <c r="C728" i="8"/>
  <c r="C752" i="8"/>
  <c r="C792" i="8"/>
  <c r="C840" i="8"/>
  <c r="C888" i="8"/>
  <c r="C936" i="8"/>
  <c r="C984" i="8"/>
  <c r="C44" i="8"/>
  <c r="C108" i="8"/>
  <c r="C172" i="8"/>
  <c r="C236" i="8"/>
  <c r="C300" i="8"/>
  <c r="C364" i="8"/>
  <c r="C428" i="8"/>
  <c r="C492" i="8"/>
  <c r="C556" i="8"/>
  <c r="C598" i="8"/>
  <c r="C620" i="8"/>
  <c r="C639" i="8"/>
  <c r="C662" i="8"/>
  <c r="C684" i="8"/>
  <c r="C693" i="8"/>
  <c r="C701" i="8"/>
  <c r="C709" i="8"/>
  <c r="C717" i="8"/>
  <c r="C725" i="8"/>
  <c r="C733" i="8"/>
  <c r="C741" i="8"/>
  <c r="C749" i="8"/>
  <c r="C757" i="8"/>
  <c r="C765" i="8"/>
  <c r="C773" i="8"/>
  <c r="C781" i="8"/>
  <c r="C789" i="8"/>
  <c r="C797" i="8"/>
  <c r="C805" i="8"/>
  <c r="C813" i="8"/>
  <c r="C821" i="8"/>
  <c r="C829" i="8"/>
  <c r="C837" i="8"/>
  <c r="C845" i="8"/>
  <c r="C853" i="8"/>
  <c r="C861" i="8"/>
  <c r="C869" i="8"/>
  <c r="C877" i="8"/>
  <c r="C885" i="8"/>
  <c r="C893" i="8"/>
  <c r="C901" i="8"/>
  <c r="C909" i="8"/>
  <c r="C917" i="8"/>
  <c r="C925" i="8"/>
  <c r="C933" i="8"/>
  <c r="C941" i="8"/>
  <c r="C949" i="8"/>
  <c r="C957" i="8"/>
  <c r="C965" i="8"/>
  <c r="C973" i="8"/>
  <c r="C981" i="8"/>
  <c r="C989" i="8"/>
  <c r="C124" i="8"/>
  <c r="C316" i="8"/>
  <c r="C508" i="8"/>
  <c r="C604" i="8"/>
  <c r="C646" i="8"/>
  <c r="C695" i="8"/>
  <c r="C719" i="8"/>
  <c r="C743" i="8"/>
  <c r="C767" i="8"/>
  <c r="C791" i="8"/>
  <c r="C823" i="8"/>
  <c r="C839" i="8"/>
  <c r="C855" i="8"/>
  <c r="C879" i="8"/>
  <c r="C903" i="8"/>
  <c r="C927" i="8"/>
  <c r="C959" i="8"/>
  <c r="C983" i="8"/>
  <c r="C388" i="8"/>
  <c r="C606" i="8"/>
  <c r="C704" i="8"/>
  <c r="C760" i="8"/>
  <c r="C816" i="8"/>
  <c r="C872" i="8"/>
  <c r="C920" i="8"/>
  <c r="C968" i="8"/>
  <c r="C52" i="8"/>
  <c r="C116" i="8"/>
  <c r="C180" i="8"/>
  <c r="C244" i="8"/>
  <c r="C308" i="8"/>
  <c r="C372" i="8"/>
  <c r="C436" i="8"/>
  <c r="C500" i="8"/>
  <c r="C564" i="8"/>
  <c r="C599" i="8"/>
  <c r="C622" i="8"/>
  <c r="C644" i="8"/>
  <c r="C663" i="8"/>
  <c r="C686" i="8"/>
  <c r="C694" i="8"/>
  <c r="C702" i="8"/>
  <c r="C710" i="8"/>
  <c r="C718" i="8"/>
  <c r="C726" i="8"/>
  <c r="C734" i="8"/>
  <c r="C742" i="8"/>
  <c r="C750" i="8"/>
  <c r="C758" i="8"/>
  <c r="C766" i="8"/>
  <c r="C774" i="8"/>
  <c r="C782" i="8"/>
  <c r="C790" i="8"/>
  <c r="C798" i="8"/>
  <c r="C806" i="8"/>
  <c r="C814" i="8"/>
  <c r="C822" i="8"/>
  <c r="C830" i="8"/>
  <c r="C838" i="8"/>
  <c r="C846" i="8"/>
  <c r="C854" i="8"/>
  <c r="C862" i="8"/>
  <c r="C870" i="8"/>
  <c r="C878" i="8"/>
  <c r="C886" i="8"/>
  <c r="C894" i="8"/>
  <c r="C902" i="8"/>
  <c r="C910" i="8"/>
  <c r="C918" i="8"/>
  <c r="C926" i="8"/>
  <c r="C934" i="8"/>
  <c r="C942" i="8"/>
  <c r="C950" i="8"/>
  <c r="C958" i="8"/>
  <c r="C966" i="8"/>
  <c r="C974" i="8"/>
  <c r="C982" i="8"/>
  <c r="C990" i="8"/>
  <c r="C998" i="8"/>
  <c r="C188" i="8"/>
  <c r="C252" i="8"/>
  <c r="C444" i="8"/>
  <c r="C623" i="8"/>
  <c r="C687" i="8"/>
  <c r="C703" i="8"/>
  <c r="C727" i="8"/>
  <c r="C751" i="8"/>
  <c r="C775" i="8"/>
  <c r="C799" i="8"/>
  <c r="C815" i="8"/>
  <c r="C847" i="8"/>
  <c r="C871" i="8"/>
  <c r="C895" i="8"/>
  <c r="C919" i="8"/>
  <c r="C943" i="8"/>
  <c r="C975" i="8"/>
  <c r="C260" i="8"/>
  <c r="C580" i="8"/>
  <c r="C696" i="8"/>
  <c r="C768" i="8"/>
  <c r="C824" i="8"/>
  <c r="C864" i="8"/>
  <c r="C912" i="8"/>
  <c r="C952" i="8"/>
  <c r="C1000" i="8"/>
  <c r="D6" i="4"/>
  <c r="D7" i="4" s="1"/>
  <c r="E6" i="4"/>
  <c r="E7" i="4" s="1"/>
  <c r="F6" i="4"/>
  <c r="F7" i="4" s="1"/>
  <c r="G6" i="4"/>
  <c r="G7" i="4" s="1"/>
  <c r="H6" i="4"/>
  <c r="H7" i="4" s="1"/>
  <c r="I6" i="4"/>
  <c r="I7" i="4" s="1"/>
  <c r="J6" i="4"/>
  <c r="J7" i="4" s="1"/>
  <c r="C6" i="4"/>
  <c r="C7" i="4" s="1"/>
  <c r="I5" i="8" l="1" a="1"/>
  <c r="I7" i="8" s="1"/>
  <c r="K6" i="4"/>
  <c r="K7" i="4" s="1"/>
  <c r="L6" i="4"/>
  <c r="L7" i="4" s="1"/>
  <c r="B10" i="3"/>
  <c r="I10" i="8" l="1"/>
  <c r="I14" i="8"/>
  <c r="I11" i="8"/>
  <c r="I6" i="8"/>
  <c r="I12" i="8"/>
  <c r="I9" i="8"/>
  <c r="I8" i="8"/>
  <c r="I15" i="8"/>
  <c r="I13" i="8"/>
  <c r="I5" i="8"/>
  <c r="F15" i="9"/>
  <c r="F10" i="9"/>
  <c r="F11" i="9" s="1"/>
  <c r="B11" i="3" l="1"/>
  <c r="B6" i="9"/>
  <c r="B7" i="9" s="1"/>
  <c r="F7" i="9"/>
  <c r="B8" i="9" l="1"/>
  <c r="B9" i="9" l="1"/>
  <c r="B16" i="1" s="1"/>
  <c r="B17" i="1" l="1"/>
  <c r="B13" i="1"/>
  <c r="Q5" i="7"/>
  <c r="R5" i="7" s="1"/>
  <c r="P6" i="7"/>
  <c r="P7" i="7"/>
  <c r="P8" i="7"/>
  <c r="P5" i="7"/>
  <c r="B4" i="4" a="1"/>
  <c r="B4" i="4" s="1"/>
  <c r="B4" i="2" a="1"/>
  <c r="B4" i="2" s="1"/>
  <c r="B4" i="1" a="1"/>
  <c r="B4" i="1" s="1"/>
  <c r="B4" i="6" a="1"/>
  <c r="B4" i="6" s="1"/>
  <c r="L10" i="8" l="1"/>
  <c r="L9" i="8"/>
  <c r="L11" i="8"/>
  <c r="L12" i="8"/>
  <c r="L13" i="8"/>
  <c r="L14" i="8"/>
  <c r="L6" i="8"/>
  <c r="L15" i="8"/>
  <c r="L7" i="8"/>
  <c r="L5" i="8"/>
  <c r="L8" i="8"/>
  <c r="B12" i="1"/>
  <c r="C12" i="1" s="1"/>
  <c r="B12" i="3"/>
  <c r="B5" i="6" s="1"/>
  <c r="I2" i="6" s="1"/>
  <c r="P9" i="7"/>
  <c r="E9" i="2" l="1" a="1"/>
  <c r="E9" i="2" s="1"/>
  <c r="F9" i="2" a="1"/>
  <c r="F9" i="2" s="1"/>
  <c r="G9" i="2" a="1"/>
  <c r="G9" i="2" s="1"/>
  <c r="C9" i="2" a="1"/>
  <c r="C9" i="2" s="1"/>
  <c r="H9" i="2" a="1"/>
  <c r="H9" i="2" s="1"/>
  <c r="I9" i="2" a="1"/>
  <c r="I9" i="2" s="1"/>
  <c r="J9" i="2" a="1"/>
  <c r="J9" i="2" s="1"/>
  <c r="L9" i="2" a="1"/>
  <c r="L9" i="2" s="1"/>
  <c r="D9" i="2" a="1"/>
  <c r="D9" i="2" s="1"/>
  <c r="K9" i="2" a="1"/>
  <c r="K9" i="2" s="1"/>
  <c r="D12" i="1"/>
  <c r="E12" i="1" s="1"/>
  <c r="F12" i="1" s="1"/>
  <c r="K6" i="6"/>
  <c r="J6" i="6"/>
  <c r="I6" i="6"/>
  <c r="E6" i="6"/>
  <c r="H6" i="6"/>
  <c r="F6" i="6"/>
  <c r="G6" i="6"/>
  <c r="D6" i="6"/>
  <c r="C6" i="6"/>
  <c r="L6" i="6"/>
  <c r="G12" i="1" l="1"/>
  <c r="H12" i="1" s="1"/>
  <c r="I12" i="1" s="1"/>
  <c r="J12" i="1" s="1"/>
  <c r="K12" i="1" s="1"/>
  <c r="L12" i="1" s="1"/>
  <c r="B12" i="2" a="1"/>
  <c r="B12" i="2" s="1"/>
  <c r="B13" i="2" s="1"/>
  <c r="N11" i="7"/>
  <c r="I19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C14" i="7"/>
  <c r="D5" i="7"/>
  <c r="D6" i="7"/>
  <c r="D7" i="7"/>
  <c r="D8" i="7"/>
  <c r="D9" i="7"/>
  <c r="D10" i="7"/>
  <c r="D11" i="7"/>
  <c r="D12" i="7"/>
  <c r="D13" i="7"/>
  <c r="H19" i="7"/>
  <c r="B14" i="7"/>
  <c r="Q7" i="7" l="1"/>
  <c r="R7" i="7" s="1"/>
  <c r="Q8" i="7"/>
  <c r="R8" i="7" s="1"/>
  <c r="Q6" i="7"/>
  <c r="R6" i="7" s="1"/>
  <c r="J19" i="7"/>
  <c r="D14" i="7"/>
  <c r="G8" i="2" l="1" a="1"/>
  <c r="G8" i="2" s="1"/>
  <c r="H8" i="2" a="1"/>
  <c r="H8" i="2" s="1"/>
  <c r="L8" i="2" a="1"/>
  <c r="L8" i="2" s="1"/>
  <c r="D8" i="2" a="1"/>
  <c r="D8" i="2" s="1"/>
  <c r="C8" i="2" a="1"/>
  <c r="C8" i="2" s="1"/>
  <c r="I8" i="2" a="1"/>
  <c r="I8" i="2" s="1"/>
  <c r="E8" i="2" a="1"/>
  <c r="E8" i="2" s="1"/>
  <c r="J8" i="2" a="1"/>
  <c r="J8" i="2" s="1"/>
  <c r="F8" i="2" a="1"/>
  <c r="F8" i="2" s="1"/>
  <c r="K8" i="2" a="1"/>
  <c r="K8" i="2" s="1"/>
  <c r="R9" i="7"/>
  <c r="B5" i="2" a="1"/>
  <c r="B5" i="2" s="1"/>
  <c r="B14" i="2" s="1"/>
  <c r="B15" i="2" s="1"/>
  <c r="B16" i="2" s="1"/>
  <c r="D10" i="2" l="1" a="1"/>
  <c r="D10" i="2" s="1"/>
  <c r="I10" i="2" a="1"/>
  <c r="I10" i="2" s="1"/>
  <c r="J10" i="2" a="1"/>
  <c r="J10" i="2" s="1"/>
  <c r="E10" i="2" a="1"/>
  <c r="E10" i="2" s="1"/>
  <c r="K10" i="2" a="1"/>
  <c r="K10" i="2" s="1"/>
  <c r="F10" i="2" a="1"/>
  <c r="F10" i="2" s="1"/>
  <c r="G10" i="2" a="1"/>
  <c r="G10" i="2" s="1"/>
  <c r="L10" i="2" a="1"/>
  <c r="L10" i="2" s="1"/>
  <c r="H10" i="2" a="1"/>
  <c r="H10" i="2" s="1"/>
  <c r="C10" i="2" a="1"/>
  <c r="C10" i="2" s="1"/>
  <c r="D5" i="2"/>
  <c r="K5" i="2"/>
  <c r="J5" i="2"/>
  <c r="C5" i="2"/>
  <c r="F5" i="2"/>
  <c r="I5" i="2"/>
  <c r="E5" i="2"/>
  <c r="H5" i="2"/>
  <c r="G5" i="2"/>
  <c r="L5" i="2"/>
  <c r="B8" i="1"/>
  <c r="B7" i="6"/>
  <c r="C5" i="6" s="1"/>
  <c r="C12" i="2" l="1"/>
  <c r="C13" i="2" s="1"/>
  <c r="P5" i="8" s="1"/>
  <c r="C7" i="6"/>
  <c r="D5" i="6" s="1"/>
  <c r="B8" i="12" l="1"/>
  <c r="B9" i="12" s="1"/>
  <c r="C14" i="2"/>
  <c r="C15" i="2" s="1"/>
  <c r="C16" i="2" s="1"/>
  <c r="D7" i="6"/>
  <c r="E5" i="6" s="1"/>
  <c r="B10" i="12" l="1"/>
  <c r="B11" i="12" s="1"/>
  <c r="C14" i="12" s="1"/>
  <c r="D5" i="8"/>
  <c r="D6" i="8"/>
  <c r="D14" i="8"/>
  <c r="D22" i="8"/>
  <c r="D30" i="8"/>
  <c r="D38" i="8"/>
  <c r="D46" i="8"/>
  <c r="D54" i="8"/>
  <c r="D62" i="8"/>
  <c r="D70" i="8"/>
  <c r="D78" i="8"/>
  <c r="D86" i="8"/>
  <c r="D94" i="8"/>
  <c r="D102" i="8"/>
  <c r="D110" i="8"/>
  <c r="D118" i="8"/>
  <c r="D126" i="8"/>
  <c r="D134" i="8"/>
  <c r="D142" i="8"/>
  <c r="D150" i="8"/>
  <c r="D158" i="8"/>
  <c r="D166" i="8"/>
  <c r="D174" i="8"/>
  <c r="D182" i="8"/>
  <c r="D190" i="8"/>
  <c r="D198" i="8"/>
  <c r="D206" i="8"/>
  <c r="D214" i="8"/>
  <c r="D222" i="8"/>
  <c r="D230" i="8"/>
  <c r="D238" i="8"/>
  <c r="D246" i="8"/>
  <c r="D254" i="8"/>
  <c r="D262" i="8"/>
  <c r="D270" i="8"/>
  <c r="D278" i="8"/>
  <c r="D286" i="8"/>
  <c r="D294" i="8"/>
  <c r="D302" i="8"/>
  <c r="D310" i="8"/>
  <c r="D318" i="8"/>
  <c r="D326" i="8"/>
  <c r="D334" i="8"/>
  <c r="D342" i="8"/>
  <c r="D350" i="8"/>
  <c r="D358" i="8"/>
  <c r="D366" i="8"/>
  <c r="D374" i="8"/>
  <c r="D382" i="8"/>
  <c r="D390" i="8"/>
  <c r="D398" i="8"/>
  <c r="D406" i="8"/>
  <c r="D414" i="8"/>
  <c r="D422" i="8"/>
  <c r="D430" i="8"/>
  <c r="D438" i="8"/>
  <c r="D446" i="8"/>
  <c r="D454" i="8"/>
  <c r="D462" i="8"/>
  <c r="D470" i="8"/>
  <c r="D478" i="8"/>
  <c r="D486" i="8"/>
  <c r="D494" i="8"/>
  <c r="D502" i="8"/>
  <c r="D510" i="8"/>
  <c r="D518" i="8"/>
  <c r="D526" i="8"/>
  <c r="D8" i="8"/>
  <c r="D16" i="8"/>
  <c r="D24" i="8"/>
  <c r="D32" i="8"/>
  <c r="D40" i="8"/>
  <c r="D48" i="8"/>
  <c r="D56" i="8"/>
  <c r="D64" i="8"/>
  <c r="D72" i="8"/>
  <c r="D80" i="8"/>
  <c r="D88" i="8"/>
  <c r="D96" i="8"/>
  <c r="D104" i="8"/>
  <c r="D112" i="8"/>
  <c r="D120" i="8"/>
  <c r="D128" i="8"/>
  <c r="D136" i="8"/>
  <c r="D144" i="8"/>
  <c r="D152" i="8"/>
  <c r="D160" i="8"/>
  <c r="D168" i="8"/>
  <c r="D176" i="8"/>
  <c r="D184" i="8"/>
  <c r="D192" i="8"/>
  <c r="D200" i="8"/>
  <c r="D208" i="8"/>
  <c r="D216" i="8"/>
  <c r="D224" i="8"/>
  <c r="D232" i="8"/>
  <c r="D240" i="8"/>
  <c r="D248" i="8"/>
  <c r="D256" i="8"/>
  <c r="D264" i="8"/>
  <c r="D272" i="8"/>
  <c r="D280" i="8"/>
  <c r="D288" i="8"/>
  <c r="D296" i="8"/>
  <c r="D304" i="8"/>
  <c r="D312" i="8"/>
  <c r="D320" i="8"/>
  <c r="D328" i="8"/>
  <c r="D336" i="8"/>
  <c r="D344" i="8"/>
  <c r="D352" i="8"/>
  <c r="D360" i="8"/>
  <c r="D368" i="8"/>
  <c r="D376" i="8"/>
  <c r="D384" i="8"/>
  <c r="D392" i="8"/>
  <c r="D400" i="8"/>
  <c r="D408" i="8"/>
  <c r="D416" i="8"/>
  <c r="D424" i="8"/>
  <c r="D432" i="8"/>
  <c r="D440" i="8"/>
  <c r="D448" i="8"/>
  <c r="D456" i="8"/>
  <c r="D464" i="8"/>
  <c r="D472" i="8"/>
  <c r="D480" i="8"/>
  <c r="D488" i="8"/>
  <c r="D496" i="8"/>
  <c r="D504" i="8"/>
  <c r="D512" i="8"/>
  <c r="D520" i="8"/>
  <c r="D528" i="8"/>
  <c r="D536" i="8"/>
  <c r="D544" i="8"/>
  <c r="D552" i="8"/>
  <c r="D560" i="8"/>
  <c r="D568" i="8"/>
  <c r="D576" i="8"/>
  <c r="D584" i="8"/>
  <c r="D592" i="8"/>
  <c r="D600" i="8"/>
  <c r="D608" i="8"/>
  <c r="D616" i="8"/>
  <c r="D624" i="8"/>
  <c r="D632" i="8"/>
  <c r="D640" i="8"/>
  <c r="D648" i="8"/>
  <c r="D656" i="8"/>
  <c r="D664" i="8"/>
  <c r="D672" i="8"/>
  <c r="D9" i="8"/>
  <c r="D17" i="8"/>
  <c r="D25" i="8"/>
  <c r="D33" i="8"/>
  <c r="D41" i="8"/>
  <c r="D49" i="8"/>
  <c r="D57" i="8"/>
  <c r="D65" i="8"/>
  <c r="D73" i="8"/>
  <c r="D81" i="8"/>
  <c r="D89" i="8"/>
  <c r="D97" i="8"/>
  <c r="D105" i="8"/>
  <c r="D113" i="8"/>
  <c r="D121" i="8"/>
  <c r="D129" i="8"/>
  <c r="D137" i="8"/>
  <c r="D145" i="8"/>
  <c r="D153" i="8"/>
  <c r="D161" i="8"/>
  <c r="D169" i="8"/>
  <c r="D177" i="8"/>
  <c r="D185" i="8"/>
  <c r="D193" i="8"/>
  <c r="D201" i="8"/>
  <c r="D209" i="8"/>
  <c r="D217" i="8"/>
  <c r="D225" i="8"/>
  <c r="D233" i="8"/>
  <c r="D241" i="8"/>
  <c r="D249" i="8"/>
  <c r="D257" i="8"/>
  <c r="D265" i="8"/>
  <c r="D273" i="8"/>
  <c r="D281" i="8"/>
  <c r="D289" i="8"/>
  <c r="D297" i="8"/>
  <c r="D305" i="8"/>
  <c r="D313" i="8"/>
  <c r="D321" i="8"/>
  <c r="D329" i="8"/>
  <c r="D337" i="8"/>
  <c r="D345" i="8"/>
  <c r="D353" i="8"/>
  <c r="D361" i="8"/>
  <c r="D369" i="8"/>
  <c r="D377" i="8"/>
  <c r="D385" i="8"/>
  <c r="D393" i="8"/>
  <c r="D401" i="8"/>
  <c r="D409" i="8"/>
  <c r="D417" i="8"/>
  <c r="D425" i="8"/>
  <c r="D433" i="8"/>
  <c r="D441" i="8"/>
  <c r="D449" i="8"/>
  <c r="D457" i="8"/>
  <c r="D465" i="8"/>
  <c r="D473" i="8"/>
  <c r="D481" i="8"/>
  <c r="D489" i="8"/>
  <c r="D497" i="8"/>
  <c r="D505" i="8"/>
  <c r="D513" i="8"/>
  <c r="D521" i="8"/>
  <c r="D10" i="8"/>
  <c r="D18" i="8"/>
  <c r="D26" i="8"/>
  <c r="D34" i="8"/>
  <c r="D42" i="8"/>
  <c r="D50" i="8"/>
  <c r="D58" i="8"/>
  <c r="D66" i="8"/>
  <c r="D74" i="8"/>
  <c r="D82" i="8"/>
  <c r="D90" i="8"/>
  <c r="D98" i="8"/>
  <c r="D106" i="8"/>
  <c r="D114" i="8"/>
  <c r="D122" i="8"/>
  <c r="D130" i="8"/>
  <c r="D138" i="8"/>
  <c r="D146" i="8"/>
  <c r="D154" i="8"/>
  <c r="D162" i="8"/>
  <c r="D170" i="8"/>
  <c r="D178" i="8"/>
  <c r="D186" i="8"/>
  <c r="D194" i="8"/>
  <c r="D202" i="8"/>
  <c r="D210" i="8"/>
  <c r="D218" i="8"/>
  <c r="D226" i="8"/>
  <c r="D234" i="8"/>
  <c r="D242" i="8"/>
  <c r="D250" i="8"/>
  <c r="D258" i="8"/>
  <c r="D266" i="8"/>
  <c r="D274" i="8"/>
  <c r="D282" i="8"/>
  <c r="D290" i="8"/>
  <c r="D298" i="8"/>
  <c r="D306" i="8"/>
  <c r="D314" i="8"/>
  <c r="D322" i="8"/>
  <c r="D330" i="8"/>
  <c r="D338" i="8"/>
  <c r="D346" i="8"/>
  <c r="D354" i="8"/>
  <c r="D362" i="8"/>
  <c r="D370" i="8"/>
  <c r="D378" i="8"/>
  <c r="D386" i="8"/>
  <c r="D394" i="8"/>
  <c r="D402" i="8"/>
  <c r="D410" i="8"/>
  <c r="D418" i="8"/>
  <c r="D426" i="8"/>
  <c r="D434" i="8"/>
  <c r="D442" i="8"/>
  <c r="D450" i="8"/>
  <c r="D458" i="8"/>
  <c r="D466" i="8"/>
  <c r="D474" i="8"/>
  <c r="D482" i="8"/>
  <c r="D490" i="8"/>
  <c r="D498" i="8"/>
  <c r="D506" i="8"/>
  <c r="D514" i="8"/>
  <c r="D522" i="8"/>
  <c r="D530" i="8"/>
  <c r="D538" i="8"/>
  <c r="D546" i="8"/>
  <c r="D554" i="8"/>
  <c r="D562" i="8"/>
  <c r="D570" i="8"/>
  <c r="D578" i="8"/>
  <c r="D586" i="8"/>
  <c r="D594" i="8"/>
  <c r="D602" i="8"/>
  <c r="D610" i="8"/>
  <c r="D618" i="8"/>
  <c r="D626" i="8"/>
  <c r="D634" i="8"/>
  <c r="D642" i="8"/>
  <c r="D650" i="8"/>
  <c r="D658" i="8"/>
  <c r="D666" i="8"/>
  <c r="D674" i="8"/>
  <c r="D682" i="8"/>
  <c r="D13" i="8"/>
  <c r="D21" i="8"/>
  <c r="D29" i="8"/>
  <c r="D37" i="8"/>
  <c r="D45" i="8"/>
  <c r="D53" i="8"/>
  <c r="D61" i="8"/>
  <c r="D69" i="8"/>
  <c r="D77" i="8"/>
  <c r="D85" i="8"/>
  <c r="D93" i="8"/>
  <c r="D101" i="8"/>
  <c r="D109" i="8"/>
  <c r="D117" i="8"/>
  <c r="D125" i="8"/>
  <c r="D133" i="8"/>
  <c r="D141" i="8"/>
  <c r="D149" i="8"/>
  <c r="D157" i="8"/>
  <c r="D165" i="8"/>
  <c r="D173" i="8"/>
  <c r="D181" i="8"/>
  <c r="D189" i="8"/>
  <c r="D197" i="8"/>
  <c r="D205" i="8"/>
  <c r="D213" i="8"/>
  <c r="D221" i="8"/>
  <c r="D229" i="8"/>
  <c r="D237" i="8"/>
  <c r="D245" i="8"/>
  <c r="D253" i="8"/>
  <c r="D261" i="8"/>
  <c r="D269" i="8"/>
  <c r="D277" i="8"/>
  <c r="D285" i="8"/>
  <c r="D293" i="8"/>
  <c r="D301" i="8"/>
  <c r="D309" i="8"/>
  <c r="D317" i="8"/>
  <c r="D325" i="8"/>
  <c r="D333" i="8"/>
  <c r="D341" i="8"/>
  <c r="D349" i="8"/>
  <c r="D357" i="8"/>
  <c r="D365" i="8"/>
  <c r="D373" i="8"/>
  <c r="D381" i="8"/>
  <c r="D389" i="8"/>
  <c r="D397" i="8"/>
  <c r="D405" i="8"/>
  <c r="D413" i="8"/>
  <c r="D421" i="8"/>
  <c r="D429" i="8"/>
  <c r="D437" i="8"/>
  <c r="D445" i="8"/>
  <c r="D453" i="8"/>
  <c r="D461" i="8"/>
  <c r="D469" i="8"/>
  <c r="D477" i="8"/>
  <c r="D485" i="8"/>
  <c r="D493" i="8"/>
  <c r="D501" i="8"/>
  <c r="D509" i="8"/>
  <c r="D517" i="8"/>
  <c r="D525" i="8"/>
  <c r="D533" i="8"/>
  <c r="D541" i="8"/>
  <c r="D549" i="8"/>
  <c r="D557" i="8"/>
  <c r="D565" i="8"/>
  <c r="D573" i="8"/>
  <c r="D581" i="8"/>
  <c r="D589" i="8"/>
  <c r="D597" i="8"/>
  <c r="D605" i="8"/>
  <c r="D613" i="8"/>
  <c r="D621" i="8"/>
  <c r="D629" i="8"/>
  <c r="D637" i="8"/>
  <c r="D645" i="8"/>
  <c r="D653" i="8"/>
  <c r="D661" i="8"/>
  <c r="D669" i="8"/>
  <c r="D677" i="8"/>
  <c r="D685" i="8"/>
  <c r="D12" i="8"/>
  <c r="D35" i="8"/>
  <c r="D55" i="8"/>
  <c r="D76" i="8"/>
  <c r="D99" i="8"/>
  <c r="D119" i="8"/>
  <c r="D140" i="8"/>
  <c r="D163" i="8"/>
  <c r="D183" i="8"/>
  <c r="D204" i="8"/>
  <c r="D227" i="8"/>
  <c r="D247" i="8"/>
  <c r="D268" i="8"/>
  <c r="D291" i="8"/>
  <c r="D311" i="8"/>
  <c r="D332" i="8"/>
  <c r="D355" i="8"/>
  <c r="D375" i="8"/>
  <c r="D396" i="8"/>
  <c r="D419" i="8"/>
  <c r="D439" i="8"/>
  <c r="D460" i="8"/>
  <c r="D483" i="8"/>
  <c r="D503" i="8"/>
  <c r="D524" i="8"/>
  <c r="D539" i="8"/>
  <c r="D551" i="8"/>
  <c r="D564" i="8"/>
  <c r="D577" i="8"/>
  <c r="D590" i="8"/>
  <c r="D603" i="8"/>
  <c r="D615" i="8"/>
  <c r="D628" i="8"/>
  <c r="D641" i="8"/>
  <c r="D654" i="8"/>
  <c r="D667" i="8"/>
  <c r="D679" i="8"/>
  <c r="D689" i="8"/>
  <c r="D697" i="8"/>
  <c r="D705" i="8"/>
  <c r="D713" i="8"/>
  <c r="D721" i="8"/>
  <c r="D729" i="8"/>
  <c r="D737" i="8"/>
  <c r="D745" i="8"/>
  <c r="D753" i="8"/>
  <c r="D761" i="8"/>
  <c r="D769" i="8"/>
  <c r="D777" i="8"/>
  <c r="D785" i="8"/>
  <c r="D793" i="8"/>
  <c r="D801" i="8"/>
  <c r="D809" i="8"/>
  <c r="D817" i="8"/>
  <c r="D825" i="8"/>
  <c r="D833" i="8"/>
  <c r="D841" i="8"/>
  <c r="D849" i="8"/>
  <c r="D857" i="8"/>
  <c r="D865" i="8"/>
  <c r="D873" i="8"/>
  <c r="D881" i="8"/>
  <c r="D889" i="8"/>
  <c r="D897" i="8"/>
  <c r="D905" i="8"/>
  <c r="D913" i="8"/>
  <c r="D921" i="8"/>
  <c r="D929" i="8"/>
  <c r="D937" i="8"/>
  <c r="D945" i="8"/>
  <c r="D953" i="8"/>
  <c r="D961" i="8"/>
  <c r="D969" i="8"/>
  <c r="D977" i="8"/>
  <c r="D985" i="8"/>
  <c r="D993" i="8"/>
  <c r="D1001" i="8"/>
  <c r="D962" i="8"/>
  <c r="D978" i="8"/>
  <c r="D1002" i="8"/>
  <c r="D15" i="8"/>
  <c r="D36" i="8"/>
  <c r="D59" i="8"/>
  <c r="D79" i="8"/>
  <c r="D100" i="8"/>
  <c r="D123" i="8"/>
  <c r="D143" i="8"/>
  <c r="D164" i="8"/>
  <c r="D187" i="8"/>
  <c r="D207" i="8"/>
  <c r="D228" i="8"/>
  <c r="D251" i="8"/>
  <c r="D271" i="8"/>
  <c r="D292" i="8"/>
  <c r="D315" i="8"/>
  <c r="D335" i="8"/>
  <c r="D356" i="8"/>
  <c r="D379" i="8"/>
  <c r="D399" i="8"/>
  <c r="D420" i="8"/>
  <c r="D443" i="8"/>
  <c r="D463" i="8"/>
  <c r="D484" i="8"/>
  <c r="D507" i="8"/>
  <c r="D527" i="8"/>
  <c r="D540" i="8"/>
  <c r="D553" i="8"/>
  <c r="D566" i="8"/>
  <c r="D579" i="8"/>
  <c r="D591" i="8"/>
  <c r="D604" i="8"/>
  <c r="D617" i="8"/>
  <c r="D630" i="8"/>
  <c r="D643" i="8"/>
  <c r="D655" i="8"/>
  <c r="D668" i="8"/>
  <c r="D680" i="8"/>
  <c r="D690" i="8"/>
  <c r="D698" i="8"/>
  <c r="D706" i="8"/>
  <c r="D714" i="8"/>
  <c r="D722" i="8"/>
  <c r="D730" i="8"/>
  <c r="D738" i="8"/>
  <c r="D746" i="8"/>
  <c r="D754" i="8"/>
  <c r="D762" i="8"/>
  <c r="D770" i="8"/>
  <c r="D778" i="8"/>
  <c r="D786" i="8"/>
  <c r="D794" i="8"/>
  <c r="D802" i="8"/>
  <c r="D810" i="8"/>
  <c r="D818" i="8"/>
  <c r="D826" i="8"/>
  <c r="D834" i="8"/>
  <c r="D842" i="8"/>
  <c r="D850" i="8"/>
  <c r="D858" i="8"/>
  <c r="D866" i="8"/>
  <c r="D874" i="8"/>
  <c r="D882" i="8"/>
  <c r="D890" i="8"/>
  <c r="D898" i="8"/>
  <c r="D906" i="8"/>
  <c r="D914" i="8"/>
  <c r="D922" i="8"/>
  <c r="D930" i="8"/>
  <c r="D938" i="8"/>
  <c r="D946" i="8"/>
  <c r="D954" i="8"/>
  <c r="D970" i="8"/>
  <c r="D986" i="8"/>
  <c r="D994" i="8"/>
  <c r="D39" i="8"/>
  <c r="D60" i="8"/>
  <c r="D83" i="8"/>
  <c r="D103" i="8"/>
  <c r="D124" i="8"/>
  <c r="D147" i="8"/>
  <c r="D167" i="8"/>
  <c r="D188" i="8"/>
  <c r="D211" i="8"/>
  <c r="D231" i="8"/>
  <c r="D252" i="8"/>
  <c r="D27" i="8"/>
  <c r="D47" i="8"/>
  <c r="D68" i="8"/>
  <c r="D91" i="8"/>
  <c r="D111" i="8"/>
  <c r="D132" i="8"/>
  <c r="D155" i="8"/>
  <c r="D175" i="8"/>
  <c r="D196" i="8"/>
  <c r="D219" i="8"/>
  <c r="D239" i="8"/>
  <c r="D260" i="8"/>
  <c r="D283" i="8"/>
  <c r="D303" i="8"/>
  <c r="D324" i="8"/>
  <c r="D347" i="8"/>
  <c r="D367" i="8"/>
  <c r="D388" i="8"/>
  <c r="D411" i="8"/>
  <c r="D431" i="8"/>
  <c r="D452" i="8"/>
  <c r="D475" i="8"/>
  <c r="D495" i="8"/>
  <c r="D516" i="8"/>
  <c r="D534" i="8"/>
  <c r="D547" i="8"/>
  <c r="D559" i="8"/>
  <c r="D572" i="8"/>
  <c r="D585" i="8"/>
  <c r="D598" i="8"/>
  <c r="D611" i="8"/>
  <c r="D623" i="8"/>
  <c r="D636" i="8"/>
  <c r="D649" i="8"/>
  <c r="D662" i="8"/>
  <c r="D675" i="8"/>
  <c r="D686" i="8"/>
  <c r="D694" i="8"/>
  <c r="D702" i="8"/>
  <c r="D710" i="8"/>
  <c r="D718" i="8"/>
  <c r="D726" i="8"/>
  <c r="D734" i="8"/>
  <c r="D742" i="8"/>
  <c r="D750" i="8"/>
  <c r="D758" i="8"/>
  <c r="D766" i="8"/>
  <c r="D774" i="8"/>
  <c r="D782" i="8"/>
  <c r="D790" i="8"/>
  <c r="D798" i="8"/>
  <c r="D806" i="8"/>
  <c r="D814" i="8"/>
  <c r="D822" i="8"/>
  <c r="D830" i="8"/>
  <c r="D838" i="8"/>
  <c r="D846" i="8"/>
  <c r="D854" i="8"/>
  <c r="D862" i="8"/>
  <c r="D870" i="8"/>
  <c r="D878" i="8"/>
  <c r="D886" i="8"/>
  <c r="D894" i="8"/>
  <c r="D902" i="8"/>
  <c r="D910" i="8"/>
  <c r="D918" i="8"/>
  <c r="D926" i="8"/>
  <c r="D934" i="8"/>
  <c r="D942" i="8"/>
  <c r="D950" i="8"/>
  <c r="D958" i="8"/>
  <c r="D966" i="8"/>
  <c r="D974" i="8"/>
  <c r="D982" i="8"/>
  <c r="D990" i="8"/>
  <c r="D998" i="8"/>
  <c r="D19" i="8"/>
  <c r="D52" i="8"/>
  <c r="D95" i="8"/>
  <c r="D139" i="8"/>
  <c r="D180" i="8"/>
  <c r="D223" i="8"/>
  <c r="D267" i="8"/>
  <c r="D300" i="8"/>
  <c r="D339" i="8"/>
  <c r="D371" i="8"/>
  <c r="D404" i="8"/>
  <c r="D436" i="8"/>
  <c r="D471" i="8"/>
  <c r="D508" i="8"/>
  <c r="D535" i="8"/>
  <c r="D556" i="8"/>
  <c r="D575" i="8"/>
  <c r="D596" i="8"/>
  <c r="D619" i="8"/>
  <c r="D638" i="8"/>
  <c r="D659" i="8"/>
  <c r="D678" i="8"/>
  <c r="D693" i="8"/>
  <c r="D707" i="8"/>
  <c r="D719" i="8"/>
  <c r="D732" i="8"/>
  <c r="D744" i="8"/>
  <c r="D757" i="8"/>
  <c r="D771" i="8"/>
  <c r="D783" i="8"/>
  <c r="D796" i="8"/>
  <c r="D808" i="8"/>
  <c r="D821" i="8"/>
  <c r="D835" i="8"/>
  <c r="D847" i="8"/>
  <c r="D860" i="8"/>
  <c r="D872" i="8"/>
  <c r="D885" i="8"/>
  <c r="D899" i="8"/>
  <c r="D911" i="8"/>
  <c r="D924" i="8"/>
  <c r="D936" i="8"/>
  <c r="D949" i="8"/>
  <c r="D963" i="8"/>
  <c r="D975" i="8"/>
  <c r="D988" i="8"/>
  <c r="D1000" i="8"/>
  <c r="D67" i="8"/>
  <c r="D108" i="8"/>
  <c r="D151" i="8"/>
  <c r="D195" i="8"/>
  <c r="D236" i="8"/>
  <c r="D276" i="8"/>
  <c r="D308" i="8"/>
  <c r="D343" i="8"/>
  <c r="D380" i="8"/>
  <c r="D412" i="8"/>
  <c r="D479" i="8"/>
  <c r="D515" i="8"/>
  <c r="D542" i="8"/>
  <c r="D561" i="8"/>
  <c r="D582" i="8"/>
  <c r="D622" i="8"/>
  <c r="D644" i="8"/>
  <c r="D663" i="8"/>
  <c r="D683" i="8"/>
  <c r="D709" i="8"/>
  <c r="D723" i="8"/>
  <c r="D735" i="8"/>
  <c r="D760" i="8"/>
  <c r="D773" i="8"/>
  <c r="D799" i="8"/>
  <c r="D812" i="8"/>
  <c r="D837" i="8"/>
  <c r="D851" i="8"/>
  <c r="D863" i="8"/>
  <c r="D876" i="8"/>
  <c r="D888" i="8"/>
  <c r="D901" i="8"/>
  <c r="D915" i="8"/>
  <c r="D927" i="8"/>
  <c r="D952" i="8"/>
  <c r="D965" i="8"/>
  <c r="D979" i="8"/>
  <c r="D20" i="8"/>
  <c r="D63" i="8"/>
  <c r="D107" i="8"/>
  <c r="D148" i="8"/>
  <c r="D191" i="8"/>
  <c r="D235" i="8"/>
  <c r="D275" i="8"/>
  <c r="D307" i="8"/>
  <c r="D340" i="8"/>
  <c r="D372" i="8"/>
  <c r="D407" i="8"/>
  <c r="D444" i="8"/>
  <c r="D476" i="8"/>
  <c r="D511" i="8"/>
  <c r="D537" i="8"/>
  <c r="D558" i="8"/>
  <c r="D580" i="8"/>
  <c r="D599" i="8"/>
  <c r="D620" i="8"/>
  <c r="D639" i="8"/>
  <c r="D660" i="8"/>
  <c r="D681" i="8"/>
  <c r="D695" i="8"/>
  <c r="D708" i="8"/>
  <c r="D720" i="8"/>
  <c r="D733" i="8"/>
  <c r="D747" i="8"/>
  <c r="D759" i="8"/>
  <c r="D772" i="8"/>
  <c r="D784" i="8"/>
  <c r="D797" i="8"/>
  <c r="D811" i="8"/>
  <c r="D823" i="8"/>
  <c r="D836" i="8"/>
  <c r="D848" i="8"/>
  <c r="D861" i="8"/>
  <c r="D875" i="8"/>
  <c r="D887" i="8"/>
  <c r="D900" i="8"/>
  <c r="D912" i="8"/>
  <c r="D925" i="8"/>
  <c r="D939" i="8"/>
  <c r="D951" i="8"/>
  <c r="D964" i="8"/>
  <c r="D976" i="8"/>
  <c r="D989" i="8"/>
  <c r="D1003" i="8"/>
  <c r="D23" i="8"/>
  <c r="D447" i="8"/>
  <c r="D601" i="8"/>
  <c r="D696" i="8"/>
  <c r="D748" i="8"/>
  <c r="D787" i="8"/>
  <c r="D824" i="8"/>
  <c r="D940" i="8"/>
  <c r="D31" i="8"/>
  <c r="D75" i="8"/>
  <c r="D116" i="8"/>
  <c r="D159" i="8"/>
  <c r="D203" i="8"/>
  <c r="D244" i="8"/>
  <c r="D284" i="8"/>
  <c r="D319" i="8"/>
  <c r="D351" i="8"/>
  <c r="D387" i="8"/>
  <c r="D423" i="8"/>
  <c r="D455" i="8"/>
  <c r="D491" i="8"/>
  <c r="D523" i="8"/>
  <c r="D545" i="8"/>
  <c r="D567" i="8"/>
  <c r="D587" i="8"/>
  <c r="D607" i="8"/>
  <c r="D627" i="8"/>
  <c r="D647" i="8"/>
  <c r="D670" i="8"/>
  <c r="D687" i="8"/>
  <c r="D700" i="8"/>
  <c r="D712" i="8"/>
  <c r="D725" i="8"/>
  <c r="D739" i="8"/>
  <c r="D751" i="8"/>
  <c r="D764" i="8"/>
  <c r="D776" i="8"/>
  <c r="D789" i="8"/>
  <c r="D803" i="8"/>
  <c r="D815" i="8"/>
  <c r="D828" i="8"/>
  <c r="D840" i="8"/>
  <c r="D853" i="8"/>
  <c r="D867" i="8"/>
  <c r="D879" i="8"/>
  <c r="D892" i="8"/>
  <c r="D904" i="8"/>
  <c r="D917" i="8"/>
  <c r="D931" i="8"/>
  <c r="D943" i="8"/>
  <c r="D956" i="8"/>
  <c r="D968" i="8"/>
  <c r="D981" i="8"/>
  <c r="D995" i="8"/>
  <c r="D43" i="8"/>
  <c r="D84" i="8"/>
  <c r="D127" i="8"/>
  <c r="D171" i="8"/>
  <c r="D212" i="8"/>
  <c r="D255" i="8"/>
  <c r="D287" i="8"/>
  <c r="D323" i="8"/>
  <c r="D359" i="8"/>
  <c r="D391" i="8"/>
  <c r="D427" i="8"/>
  <c r="D459" i="8"/>
  <c r="D492" i="8"/>
  <c r="D529" i="8"/>
  <c r="D548" i="8"/>
  <c r="D569" i="8"/>
  <c r="D588" i="8"/>
  <c r="D609" i="8"/>
  <c r="D631" i="8"/>
  <c r="D651" i="8"/>
  <c r="D671" i="8"/>
  <c r="D688" i="8"/>
  <c r="D701" i="8"/>
  <c r="D715" i="8"/>
  <c r="D727" i="8"/>
  <c r="D740" i="8"/>
  <c r="D752" i="8"/>
  <c r="D765" i="8"/>
  <c r="D779" i="8"/>
  <c r="D791" i="8"/>
  <c r="D804" i="8"/>
  <c r="D816" i="8"/>
  <c r="D829" i="8"/>
  <c r="D843" i="8"/>
  <c r="D855" i="8"/>
  <c r="D868" i="8"/>
  <c r="D880" i="8"/>
  <c r="D893" i="8"/>
  <c r="D907" i="8"/>
  <c r="D28" i="8"/>
  <c r="D135" i="8"/>
  <c r="D259" i="8"/>
  <c r="D348" i="8"/>
  <c r="D435" i="8"/>
  <c r="D531" i="8"/>
  <c r="D583" i="8"/>
  <c r="D635" i="8"/>
  <c r="D691" i="8"/>
  <c r="D724" i="8"/>
  <c r="D756" i="8"/>
  <c r="D792" i="8"/>
  <c r="D827" i="8"/>
  <c r="D859" i="8"/>
  <c r="D895" i="8"/>
  <c r="D923" i="8"/>
  <c r="D948" i="8"/>
  <c r="D973" i="8"/>
  <c r="D997" i="8"/>
  <c r="D646" i="8"/>
  <c r="D728" i="8"/>
  <c r="D763" i="8"/>
  <c r="D795" i="8"/>
  <c r="D864" i="8"/>
  <c r="D896" i="8"/>
  <c r="D928" i="8"/>
  <c r="D955" i="8"/>
  <c r="D980" i="8"/>
  <c r="D51" i="8"/>
  <c r="D172" i="8"/>
  <c r="D279" i="8"/>
  <c r="D364" i="8"/>
  <c r="D543" i="8"/>
  <c r="D595" i="8"/>
  <c r="D652" i="8"/>
  <c r="D731" i="8"/>
  <c r="D767" i="8"/>
  <c r="D832" i="8"/>
  <c r="D869" i="8"/>
  <c r="D903" i="8"/>
  <c r="D957" i="8"/>
  <c r="D983" i="8"/>
  <c r="D71" i="8"/>
  <c r="D295" i="8"/>
  <c r="D383" i="8"/>
  <c r="D468" i="8"/>
  <c r="D606" i="8"/>
  <c r="D657" i="8"/>
  <c r="D736" i="8"/>
  <c r="D768" i="8"/>
  <c r="D839" i="8"/>
  <c r="D908" i="8"/>
  <c r="D959" i="8"/>
  <c r="D984" i="8"/>
  <c r="D884" i="8"/>
  <c r="D992" i="8"/>
  <c r="D131" i="8"/>
  <c r="D331" i="8"/>
  <c r="D519" i="8"/>
  <c r="D633" i="8"/>
  <c r="D717" i="8"/>
  <c r="D788" i="8"/>
  <c r="D920" i="8"/>
  <c r="D972" i="8"/>
  <c r="D44" i="8"/>
  <c r="D156" i="8"/>
  <c r="D263" i="8"/>
  <c r="D363" i="8"/>
  <c r="D451" i="8"/>
  <c r="D532" i="8"/>
  <c r="D593" i="8"/>
  <c r="D692" i="8"/>
  <c r="D831" i="8"/>
  <c r="D999" i="8"/>
  <c r="D467" i="8"/>
  <c r="D699" i="8"/>
  <c r="D800" i="8"/>
  <c r="D932" i="8"/>
  <c r="D1004" i="8"/>
  <c r="D179" i="8"/>
  <c r="D550" i="8"/>
  <c r="D703" i="8"/>
  <c r="D805" i="8"/>
  <c r="D871" i="8"/>
  <c r="D933" i="8"/>
  <c r="D944" i="8"/>
  <c r="D243" i="8"/>
  <c r="D856" i="8"/>
  <c r="D87" i="8"/>
  <c r="D199" i="8"/>
  <c r="D299" i="8"/>
  <c r="D395" i="8"/>
  <c r="D487" i="8"/>
  <c r="D555" i="8"/>
  <c r="D612" i="8"/>
  <c r="D665" i="8"/>
  <c r="D704" i="8"/>
  <c r="D741" i="8"/>
  <c r="D775" i="8"/>
  <c r="D807" i="8"/>
  <c r="D844" i="8"/>
  <c r="D877" i="8"/>
  <c r="D909" i="8"/>
  <c r="D935" i="8"/>
  <c r="D960" i="8"/>
  <c r="D987" i="8"/>
  <c r="D92" i="8"/>
  <c r="D215" i="8"/>
  <c r="D316" i="8"/>
  <c r="D403" i="8"/>
  <c r="D499" i="8"/>
  <c r="D563" i="8"/>
  <c r="D614" i="8"/>
  <c r="D673" i="8"/>
  <c r="D711" i="8"/>
  <c r="D743" i="8"/>
  <c r="D780" i="8"/>
  <c r="D813" i="8"/>
  <c r="D845" i="8"/>
  <c r="D883" i="8"/>
  <c r="D916" i="8"/>
  <c r="D941" i="8"/>
  <c r="D967" i="8"/>
  <c r="D991" i="8"/>
  <c r="D7" i="8"/>
  <c r="D115" i="8"/>
  <c r="D220" i="8"/>
  <c r="D327" i="8"/>
  <c r="D415" i="8"/>
  <c r="D500" i="8"/>
  <c r="D571" i="8"/>
  <c r="D625" i="8"/>
  <c r="D676" i="8"/>
  <c r="D716" i="8"/>
  <c r="D749" i="8"/>
  <c r="D781" i="8"/>
  <c r="D819" i="8"/>
  <c r="D852" i="8"/>
  <c r="D919" i="8"/>
  <c r="D971" i="8"/>
  <c r="D11" i="8"/>
  <c r="D428" i="8"/>
  <c r="D574" i="8"/>
  <c r="D684" i="8"/>
  <c r="D755" i="8"/>
  <c r="D820" i="8"/>
  <c r="D891" i="8"/>
  <c r="D947" i="8"/>
  <c r="D996" i="8"/>
  <c r="J13" i="8"/>
  <c r="J5" i="8"/>
  <c r="J7" i="8"/>
  <c r="J10" i="8"/>
  <c r="J9" i="8"/>
  <c r="J14" i="8"/>
  <c r="J8" i="8"/>
  <c r="J11" i="8"/>
  <c r="J6" i="8"/>
  <c r="J12" i="8"/>
  <c r="J15" i="8"/>
  <c r="D12" i="2"/>
  <c r="D13" i="2" s="1"/>
  <c r="D14" i="12" l="1" a="1"/>
  <c r="D14" i="12" s="1"/>
  <c r="E937" i="8"/>
  <c r="E133" i="8"/>
  <c r="E914" i="8"/>
  <c r="E109" i="8"/>
  <c r="E682" i="8"/>
  <c r="E387" i="8"/>
  <c r="E30" i="8"/>
  <c r="E366" i="8"/>
  <c r="E172" i="8"/>
  <c r="E997" i="8"/>
  <c r="E347" i="8"/>
  <c r="E285" i="8"/>
  <c r="E800" i="8"/>
  <c r="E197" i="8"/>
  <c r="E687" i="8"/>
  <c r="E843" i="8"/>
  <c r="E820" i="8"/>
  <c r="E8" i="8"/>
  <c r="E581" i="8"/>
  <c r="E891" i="8"/>
  <c r="E895" i="8"/>
  <c r="E988" i="8"/>
  <c r="E364" i="8"/>
  <c r="E865" i="8"/>
  <c r="E203" i="8"/>
  <c r="E665" i="8"/>
  <c r="E287" i="8"/>
  <c r="E69" i="8"/>
  <c r="E985" i="8"/>
  <c r="E218" i="8"/>
  <c r="E775" i="8"/>
  <c r="E982" i="8"/>
  <c r="E249" i="8"/>
  <c r="E946" i="8"/>
  <c r="E779" i="8"/>
  <c r="E408" i="8"/>
  <c r="E644" i="8"/>
  <c r="E730" i="8"/>
  <c r="E666" i="8"/>
  <c r="E597" i="8"/>
  <c r="E892" i="8"/>
  <c r="E647" i="8"/>
  <c r="E880" i="8"/>
  <c r="E842" i="8"/>
  <c r="E224" i="8"/>
  <c r="E294" i="8"/>
  <c r="E934" i="8"/>
  <c r="E450" i="8"/>
  <c r="E816" i="8"/>
  <c r="E1002" i="8"/>
  <c r="E386" i="8"/>
  <c r="E825" i="8"/>
  <c r="E1003" i="8"/>
  <c r="E26" i="8"/>
  <c r="E232" i="8"/>
  <c r="E272" i="8"/>
  <c r="E265" i="8"/>
  <c r="E890" i="8"/>
  <c r="E987" i="8"/>
  <c r="E705" i="8"/>
  <c r="E920" i="8"/>
  <c r="E314" i="8"/>
  <c r="E790" i="8"/>
  <c r="E438" i="8"/>
  <c r="E441" i="8"/>
  <c r="E919" i="8"/>
  <c r="E907" i="8"/>
  <c r="E573" i="8"/>
  <c r="E954" i="8"/>
  <c r="E755" i="8"/>
  <c r="E93" i="8"/>
  <c r="E474" i="8"/>
  <c r="E727" i="8"/>
  <c r="E684" i="8"/>
  <c r="E867" i="8"/>
  <c r="E827" i="8"/>
  <c r="E162" i="8"/>
  <c r="E541" i="8"/>
  <c r="E744" i="8"/>
  <c r="E839" i="8"/>
  <c r="E82" i="8"/>
  <c r="E199" i="8"/>
  <c r="E608" i="8"/>
  <c r="E642" i="8"/>
  <c r="E769" i="8"/>
  <c r="E864" i="8"/>
  <c r="E959" i="8"/>
  <c r="E771" i="8"/>
  <c r="E480" i="8"/>
  <c r="E847" i="8"/>
  <c r="E794" i="8"/>
  <c r="E889" i="8"/>
  <c r="E984" i="8"/>
  <c r="E899" i="8"/>
  <c r="E213" i="8"/>
  <c r="E83" i="8"/>
  <c r="E721" i="8"/>
  <c r="E978" i="8"/>
  <c r="E875" i="8"/>
  <c r="E189" i="8"/>
  <c r="E570" i="8"/>
  <c r="E751" i="8"/>
  <c r="E700" i="8"/>
  <c r="E174" i="8"/>
  <c r="E906" i="8"/>
  <c r="E1001" i="8"/>
  <c r="E979" i="8"/>
  <c r="E282" i="8"/>
  <c r="E149" i="8"/>
  <c r="E849" i="8"/>
  <c r="E973" i="8"/>
  <c r="E704" i="8"/>
  <c r="E589" i="8"/>
  <c r="E365" i="8"/>
  <c r="E411" i="8"/>
  <c r="E616" i="8"/>
  <c r="E502" i="8"/>
  <c r="E884" i="8"/>
  <c r="E587" i="8"/>
  <c r="E472" i="8"/>
  <c r="E358" i="8"/>
  <c r="E525" i="8"/>
  <c r="E451" i="8"/>
  <c r="E336" i="8"/>
  <c r="E542" i="8"/>
  <c r="E520" i="8"/>
  <c r="E499" i="8"/>
  <c r="E173" i="8"/>
  <c r="E454" i="8"/>
  <c r="E432" i="8"/>
  <c r="E599" i="8"/>
  <c r="E921" i="8"/>
  <c r="E261" i="8"/>
  <c r="E996" i="8"/>
  <c r="E341" i="8"/>
  <c r="E339" i="8"/>
  <c r="E785" i="8"/>
  <c r="E938" i="8"/>
  <c r="E645" i="8"/>
  <c r="E29" i="8"/>
  <c r="E410" i="8"/>
  <c r="E711" i="8"/>
  <c r="E556" i="8"/>
  <c r="E818" i="8"/>
  <c r="E787" i="8"/>
  <c r="E130" i="8"/>
  <c r="E509" i="8"/>
  <c r="E736" i="8"/>
  <c r="E831" i="8"/>
  <c r="E917" i="8"/>
  <c r="E135" i="8"/>
  <c r="E263" i="8"/>
  <c r="E610" i="8"/>
  <c r="E761" i="8"/>
  <c r="E856" i="8"/>
  <c r="E951" i="8"/>
  <c r="E731" i="8"/>
  <c r="E416" i="8"/>
  <c r="E699" i="8"/>
  <c r="E850" i="8"/>
  <c r="E945" i="8"/>
  <c r="E691" i="8"/>
  <c r="E58" i="8"/>
  <c r="E437" i="8"/>
  <c r="E531" i="8"/>
  <c r="E956" i="8"/>
  <c r="E778" i="8"/>
  <c r="E873" i="8"/>
  <c r="E968" i="8"/>
  <c r="E819" i="8"/>
  <c r="E490" i="8"/>
  <c r="E613" i="8"/>
  <c r="E737" i="8"/>
  <c r="E927" i="8"/>
  <c r="E391" i="8"/>
  <c r="E266" i="8"/>
  <c r="E283" i="8"/>
  <c r="E168" i="8"/>
  <c r="E54" i="8"/>
  <c r="E756" i="8"/>
  <c r="E139" i="8"/>
  <c r="E24" i="8"/>
  <c r="E230" i="8"/>
  <c r="E426" i="8"/>
  <c r="E681" i="8"/>
  <c r="E208" i="8"/>
  <c r="E989" i="8"/>
  <c r="E175" i="8"/>
  <c r="E153" i="8"/>
  <c r="E132" i="8"/>
  <c r="E869" i="8"/>
  <c r="E87" i="8"/>
  <c r="E975" i="8"/>
  <c r="E309" i="8"/>
  <c r="E762" i="8"/>
  <c r="E857" i="8"/>
  <c r="E952" i="8"/>
  <c r="E739" i="8"/>
  <c r="E85" i="8"/>
  <c r="E505" i="8"/>
  <c r="E944" i="8"/>
  <c r="E874" i="8"/>
  <c r="E969" i="8"/>
  <c r="E811" i="8"/>
  <c r="E154" i="8"/>
  <c r="E533" i="8"/>
  <c r="E44" i="8"/>
  <c r="E977" i="8"/>
  <c r="E994" i="8"/>
  <c r="E947" i="8"/>
  <c r="E253" i="8"/>
  <c r="E634" i="8"/>
  <c r="E767" i="8"/>
  <c r="E828" i="8"/>
  <c r="E302" i="8"/>
  <c r="E1004" i="8"/>
  <c r="E354" i="8"/>
  <c r="E697" i="8"/>
  <c r="E792" i="8"/>
  <c r="E887" i="8"/>
  <c r="E918" i="8"/>
  <c r="E583" i="8"/>
  <c r="E565" i="8"/>
  <c r="E786" i="8"/>
  <c r="E881" i="8"/>
  <c r="E976" i="8"/>
  <c r="E859" i="8"/>
  <c r="E181" i="8"/>
  <c r="E19" i="8"/>
  <c r="E61" i="8"/>
  <c r="E714" i="8"/>
  <c r="E809" i="8"/>
  <c r="E904" i="8"/>
  <c r="E871" i="8"/>
  <c r="E300" i="8"/>
  <c r="E955" i="8"/>
  <c r="E637" i="8"/>
  <c r="E863" i="8"/>
  <c r="E558" i="8"/>
  <c r="E10" i="8"/>
  <c r="E577" i="8"/>
  <c r="E104" i="8"/>
  <c r="E974" i="8"/>
  <c r="E548" i="8"/>
  <c r="E75" i="8"/>
  <c r="E639" i="8"/>
  <c r="E838" i="8"/>
  <c r="E170" i="8"/>
  <c r="E617" i="8"/>
  <c r="E503" i="8"/>
  <c r="E868" i="8"/>
  <c r="E342" i="8"/>
  <c r="E320" i="8"/>
  <c r="E299" i="8"/>
  <c r="E780" i="8"/>
  <c r="E254" i="8"/>
  <c r="E826" i="8"/>
  <c r="E77" i="8"/>
  <c r="E698" i="8"/>
  <c r="E793" i="8"/>
  <c r="E888" i="8"/>
  <c r="E983" i="8"/>
  <c r="E883" i="8"/>
  <c r="E672" i="8"/>
  <c r="E186" i="8"/>
  <c r="E810" i="8"/>
  <c r="E905" i="8"/>
  <c r="E1000" i="8"/>
  <c r="E971" i="8"/>
  <c r="E277" i="8"/>
  <c r="E211" i="8"/>
  <c r="E317" i="8"/>
  <c r="E930" i="8"/>
  <c r="E453" i="8"/>
  <c r="E957" i="8"/>
  <c r="E378" i="8"/>
  <c r="E703" i="8"/>
  <c r="E492" i="8"/>
  <c r="E690" i="8"/>
  <c r="E747" i="8"/>
  <c r="E98" i="8"/>
  <c r="E477" i="8"/>
  <c r="E728" i="8"/>
  <c r="E823" i="8"/>
  <c r="E853" i="8"/>
  <c r="E71" i="8"/>
  <c r="E620" i="8"/>
  <c r="E722" i="8"/>
  <c r="E817" i="8"/>
  <c r="E912" i="8"/>
  <c r="E165" i="8"/>
  <c r="E932" i="8"/>
  <c r="E185" i="8"/>
  <c r="E948" i="8"/>
  <c r="E546" i="8"/>
  <c r="E745" i="8"/>
  <c r="E840" i="8"/>
  <c r="E807" i="8"/>
  <c r="E467" i="8"/>
  <c r="E485" i="8"/>
  <c r="E381" i="8"/>
  <c r="E799" i="8"/>
  <c r="E734" i="8"/>
  <c r="E628" i="8"/>
  <c r="E513" i="8"/>
  <c r="E399" i="8"/>
  <c r="E910" i="8"/>
  <c r="E484" i="8"/>
  <c r="E369" i="8"/>
  <c r="E575" i="8"/>
  <c r="E774" i="8"/>
  <c r="E348" i="8"/>
  <c r="E553" i="8"/>
  <c r="E439" i="8"/>
  <c r="E532" i="8"/>
  <c r="E822" i="8"/>
  <c r="E487" i="8"/>
  <c r="E465" i="8"/>
  <c r="E444" i="8"/>
  <c r="E824" i="8"/>
  <c r="E160" i="8"/>
  <c r="E719" i="8"/>
  <c r="E746" i="8"/>
  <c r="E841" i="8"/>
  <c r="E936" i="8"/>
  <c r="E517" i="8"/>
  <c r="E21" i="8"/>
  <c r="E377" i="8"/>
  <c r="E752" i="8"/>
  <c r="E866" i="8"/>
  <c r="E961" i="8"/>
  <c r="E763" i="8"/>
  <c r="E122" i="8"/>
  <c r="E501" i="8"/>
  <c r="E659" i="8"/>
  <c r="E913" i="8"/>
  <c r="E986" i="8"/>
  <c r="E915" i="8"/>
  <c r="E221" i="8"/>
  <c r="E602" i="8"/>
  <c r="E759" i="8"/>
  <c r="E764" i="8"/>
  <c r="E238" i="8"/>
  <c r="E96" i="8"/>
  <c r="E578" i="8"/>
  <c r="E753" i="8"/>
  <c r="E848" i="8"/>
  <c r="E943" i="8"/>
  <c r="E677" i="8"/>
  <c r="E352" i="8"/>
  <c r="E108" i="8"/>
  <c r="E290" i="8"/>
  <c r="E669" i="8"/>
  <c r="E776" i="8"/>
  <c r="E743" i="8"/>
  <c r="E455" i="8"/>
  <c r="E770" i="8"/>
  <c r="E960" i="8"/>
  <c r="E117" i="8"/>
  <c r="E626" i="8"/>
  <c r="E244" i="8"/>
  <c r="E449" i="8"/>
  <c r="E335" i="8"/>
  <c r="E50" i="8"/>
  <c r="E420" i="8"/>
  <c r="E305" i="8"/>
  <c r="E191" i="8"/>
  <c r="E710" i="8"/>
  <c r="E284" i="8"/>
  <c r="E169" i="8"/>
  <c r="E375" i="8"/>
  <c r="E20" i="8"/>
  <c r="E757" i="8"/>
  <c r="E654" i="8"/>
  <c r="E632" i="8"/>
  <c r="E611" i="8"/>
  <c r="E729" i="8"/>
  <c r="E882" i="8"/>
  <c r="E226" i="8"/>
  <c r="E605" i="8"/>
  <c r="E760" i="8"/>
  <c r="E855" i="8"/>
  <c r="E594" i="8"/>
  <c r="E327" i="8"/>
  <c r="E338" i="8"/>
  <c r="E674" i="8"/>
  <c r="E777" i="8"/>
  <c r="E872" i="8"/>
  <c r="E967" i="8"/>
  <c r="E803" i="8"/>
  <c r="E544" i="8"/>
  <c r="E911" i="8"/>
  <c r="E802" i="8"/>
  <c r="E897" i="8"/>
  <c r="E992" i="8"/>
  <c r="E939" i="8"/>
  <c r="E245" i="8"/>
  <c r="E147" i="8"/>
  <c r="E851" i="8"/>
  <c r="E922" i="8"/>
  <c r="E293" i="8"/>
  <c r="E972" i="8"/>
  <c r="E346" i="8"/>
  <c r="E695" i="8"/>
  <c r="E428" i="8"/>
  <c r="E37" i="8"/>
  <c r="E940" i="8"/>
  <c r="E322" i="8"/>
  <c r="E689" i="8"/>
  <c r="E784" i="8"/>
  <c r="E879" i="8"/>
  <c r="E854" i="8"/>
  <c r="E519" i="8"/>
  <c r="E995" i="8"/>
  <c r="E34" i="8"/>
  <c r="E413" i="8"/>
  <c r="E712" i="8"/>
  <c r="E661" i="8"/>
  <c r="E110" i="8"/>
  <c r="E514" i="8"/>
  <c r="E832" i="8"/>
  <c r="E389" i="8"/>
  <c r="E370" i="8"/>
  <c r="E180" i="8"/>
  <c r="E65" i="8"/>
  <c r="E271" i="8"/>
  <c r="E909" i="8"/>
  <c r="E36" i="8"/>
  <c r="E241" i="8"/>
  <c r="E127" i="8"/>
  <c r="E773" i="8"/>
  <c r="E220" i="8"/>
  <c r="E105" i="8"/>
  <c r="E670" i="8"/>
  <c r="E187" i="8"/>
  <c r="E618" i="8"/>
  <c r="E142" i="8"/>
  <c r="E120" i="8"/>
  <c r="E99" i="8"/>
  <c r="E482" i="8"/>
  <c r="E229" i="8"/>
  <c r="E715" i="8"/>
  <c r="E325" i="8"/>
  <c r="E980" i="8"/>
  <c r="E349" i="8"/>
  <c r="E696" i="8"/>
  <c r="E791" i="8"/>
  <c r="E333" i="8"/>
  <c r="E494" i="8"/>
  <c r="E430" i="8"/>
  <c r="E418" i="8"/>
  <c r="E713" i="8"/>
  <c r="E808" i="8"/>
  <c r="E903" i="8"/>
  <c r="E998" i="8"/>
  <c r="E32" i="8"/>
  <c r="E53" i="8"/>
  <c r="E738" i="8"/>
  <c r="E833" i="8"/>
  <c r="E928" i="8"/>
  <c r="E357" i="8"/>
  <c r="E981" i="8"/>
  <c r="E313" i="8"/>
  <c r="E688" i="8"/>
  <c r="E858" i="8"/>
  <c r="E953" i="8"/>
  <c r="E723" i="8"/>
  <c r="E90" i="8"/>
  <c r="E469" i="8"/>
  <c r="E595" i="8"/>
  <c r="E194" i="8"/>
  <c r="E707" i="8"/>
  <c r="E66" i="8"/>
  <c r="E445" i="8"/>
  <c r="E720" i="8"/>
  <c r="E815" i="8"/>
  <c r="E789" i="8"/>
  <c r="E7" i="8"/>
  <c r="E970" i="8"/>
  <c r="E835" i="8"/>
  <c r="E157" i="8"/>
  <c r="E538" i="8"/>
  <c r="E405" i="8"/>
  <c r="E754" i="8"/>
  <c r="E258" i="8"/>
  <c r="E768" i="8"/>
  <c r="E726" i="8"/>
  <c r="E621" i="8"/>
  <c r="E116" i="8"/>
  <c r="E680" i="8"/>
  <c r="E566" i="8"/>
  <c r="E845" i="8"/>
  <c r="E651" i="8"/>
  <c r="E536" i="8"/>
  <c r="E63" i="8"/>
  <c r="E709" i="8"/>
  <c r="E515" i="8"/>
  <c r="E41" i="8"/>
  <c r="E606" i="8"/>
  <c r="E353" i="8"/>
  <c r="E332" i="8"/>
  <c r="E434" i="8"/>
  <c r="E5" i="8"/>
  <c r="E190" i="8"/>
  <c r="E999" i="8"/>
  <c r="E963" i="8"/>
  <c r="E121" i="8"/>
  <c r="E442" i="8"/>
  <c r="E898" i="8"/>
  <c r="E993" i="8"/>
  <c r="E931" i="8"/>
  <c r="E250" i="8"/>
  <c r="E629" i="8"/>
  <c r="E236" i="8"/>
  <c r="E990" i="8"/>
  <c r="E925" i="8"/>
  <c r="E836" i="8"/>
  <c r="E500" i="8"/>
  <c r="E667" i="8"/>
  <c r="E155" i="8"/>
  <c r="E321" i="8"/>
  <c r="E488" i="8"/>
  <c r="E655" i="8"/>
  <c r="E143" i="8"/>
  <c r="E310" i="8"/>
  <c r="E782" i="8"/>
  <c r="E717" i="8"/>
  <c r="E458" i="8"/>
  <c r="E292" i="8"/>
  <c r="E459" i="8"/>
  <c r="E625" i="8"/>
  <c r="E113" i="8"/>
  <c r="E280" i="8"/>
  <c r="E447" i="8"/>
  <c r="E614" i="8"/>
  <c r="E102" i="8"/>
  <c r="E274" i="8"/>
  <c r="E13" i="8"/>
  <c r="E604" i="8"/>
  <c r="E92" i="8"/>
  <c r="E259" i="8"/>
  <c r="E425" i="8"/>
  <c r="E592" i="8"/>
  <c r="E80" i="8"/>
  <c r="E247" i="8"/>
  <c r="E414" i="8"/>
  <c r="E894" i="8"/>
  <c r="E829" i="8"/>
  <c r="E740" i="8"/>
  <c r="E404" i="8"/>
  <c r="E571" i="8"/>
  <c r="E59" i="8"/>
  <c r="E225" i="8"/>
  <c r="E392" i="8"/>
  <c r="E559" i="8"/>
  <c r="E47" i="8"/>
  <c r="E214" i="8"/>
  <c r="E694" i="8"/>
  <c r="E461" i="8"/>
  <c r="E106" i="8"/>
  <c r="E204" i="8"/>
  <c r="E371" i="8"/>
  <c r="E537" i="8"/>
  <c r="E25" i="8"/>
  <c r="E192" i="8"/>
  <c r="E359" i="8"/>
  <c r="E526" i="8"/>
  <c r="E14" i="8"/>
  <c r="E941" i="8"/>
  <c r="E852" i="8"/>
  <c r="E516" i="8"/>
  <c r="E683" i="8"/>
  <c r="E171" i="8"/>
  <c r="E337" i="8"/>
  <c r="E504" i="8"/>
  <c r="E671" i="8"/>
  <c r="E159" i="8"/>
  <c r="E326" i="8"/>
  <c r="E806" i="8"/>
  <c r="E741" i="8"/>
  <c r="E554" i="8"/>
  <c r="E316" i="8"/>
  <c r="E483" i="8"/>
  <c r="E649" i="8"/>
  <c r="E137" i="8"/>
  <c r="E304" i="8"/>
  <c r="E471" i="8"/>
  <c r="E638" i="8"/>
  <c r="E126" i="8"/>
  <c r="E935" i="8"/>
  <c r="E549" i="8"/>
  <c r="E288" i="8"/>
  <c r="E783" i="8"/>
  <c r="E834" i="8"/>
  <c r="E929" i="8"/>
  <c r="E421" i="8"/>
  <c r="E965" i="8"/>
  <c r="E373" i="8"/>
  <c r="E403" i="8"/>
  <c r="E926" i="8"/>
  <c r="E861" i="8"/>
  <c r="E772" i="8"/>
  <c r="E436" i="8"/>
  <c r="E603" i="8"/>
  <c r="E91" i="8"/>
  <c r="E257" i="8"/>
  <c r="E424" i="8"/>
  <c r="E591" i="8"/>
  <c r="E79" i="8"/>
  <c r="E246" i="8"/>
  <c r="E718" i="8"/>
  <c r="E557" i="8"/>
  <c r="E202" i="8"/>
  <c r="E228" i="8"/>
  <c r="E395" i="8"/>
  <c r="E561" i="8"/>
  <c r="E49" i="8"/>
  <c r="E216" i="8"/>
  <c r="E383" i="8"/>
  <c r="E550" i="8"/>
  <c r="E38" i="8"/>
  <c r="E18" i="8"/>
  <c r="E876" i="8"/>
  <c r="E540" i="8"/>
  <c r="E28" i="8"/>
  <c r="E195" i="8"/>
  <c r="E361" i="8"/>
  <c r="E528" i="8"/>
  <c r="E16" i="8"/>
  <c r="E183" i="8"/>
  <c r="E350" i="8"/>
  <c r="E830" i="8"/>
  <c r="E765" i="8"/>
  <c r="E650" i="8"/>
  <c r="E340" i="8"/>
  <c r="E507" i="8"/>
  <c r="E673" i="8"/>
  <c r="E161" i="8"/>
  <c r="E328" i="8"/>
  <c r="E495" i="8"/>
  <c r="E662" i="8"/>
  <c r="E150" i="8"/>
  <c r="E466" i="8"/>
  <c r="E205" i="8"/>
  <c r="E652" i="8"/>
  <c r="E140" i="8"/>
  <c r="E307" i="8"/>
  <c r="E473" i="8"/>
  <c r="E640" i="8"/>
  <c r="E128" i="8"/>
  <c r="E295" i="8"/>
  <c r="E462" i="8"/>
  <c r="E942" i="8"/>
  <c r="E877" i="8"/>
  <c r="E788" i="8"/>
  <c r="E452" i="8"/>
  <c r="E619" i="8"/>
  <c r="E107" i="8"/>
  <c r="E273" i="8"/>
  <c r="E440" i="8"/>
  <c r="E607" i="8"/>
  <c r="E95" i="8"/>
  <c r="E262" i="8"/>
  <c r="E742" i="8"/>
  <c r="E653" i="8"/>
  <c r="E298" i="8"/>
  <c r="E252" i="8"/>
  <c r="E419" i="8"/>
  <c r="E585" i="8"/>
  <c r="E73" i="8"/>
  <c r="E240" i="8"/>
  <c r="E407" i="8"/>
  <c r="E574" i="8"/>
  <c r="E62" i="8"/>
  <c r="E569" i="8"/>
  <c r="E862" i="8"/>
  <c r="E797" i="8"/>
  <c r="E708" i="8"/>
  <c r="E372" i="8"/>
  <c r="E539" i="8"/>
  <c r="E27" i="8"/>
  <c r="E193" i="8"/>
  <c r="E360" i="8"/>
  <c r="E527" i="8"/>
  <c r="E15" i="8"/>
  <c r="E182" i="8"/>
  <c r="E562" i="8"/>
  <c r="E301" i="8"/>
  <c r="E676" i="8"/>
  <c r="E164" i="8"/>
  <c r="E331" i="8"/>
  <c r="E497" i="8"/>
  <c r="E664" i="8"/>
  <c r="E152" i="8"/>
  <c r="E319" i="8"/>
  <c r="E486" i="8"/>
  <c r="E966" i="8"/>
  <c r="E901" i="8"/>
  <c r="E812" i="8"/>
  <c r="E476" i="8"/>
  <c r="E643" i="8"/>
  <c r="E131" i="8"/>
  <c r="E297" i="8"/>
  <c r="E464" i="8"/>
  <c r="E631" i="8"/>
  <c r="E119" i="8"/>
  <c r="E286" i="8"/>
  <c r="E766" i="8"/>
  <c r="E701" i="8"/>
  <c r="E394" i="8"/>
  <c r="E276" i="8"/>
  <c r="E443" i="8"/>
  <c r="E609" i="8"/>
  <c r="E97" i="8"/>
  <c r="E264" i="8"/>
  <c r="E431" i="8"/>
  <c r="E598" i="8"/>
  <c r="E86" i="8"/>
  <c r="E210" i="8"/>
  <c r="E924" i="8"/>
  <c r="E588" i="8"/>
  <c r="E76" i="8"/>
  <c r="E243" i="8"/>
  <c r="E409" i="8"/>
  <c r="E576" i="8"/>
  <c r="E64" i="8"/>
  <c r="E231" i="8"/>
  <c r="E398" i="8"/>
  <c r="E878" i="8"/>
  <c r="E813" i="8"/>
  <c r="E724" i="8"/>
  <c r="E388" i="8"/>
  <c r="E555" i="8"/>
  <c r="E43" i="8"/>
  <c r="E209" i="8"/>
  <c r="E376" i="8"/>
  <c r="E543" i="8"/>
  <c r="E31" i="8"/>
  <c r="E198" i="8"/>
  <c r="E658" i="8"/>
  <c r="E397" i="8"/>
  <c r="E42" i="8"/>
  <c r="E188" i="8"/>
  <c r="E355" i="8"/>
  <c r="E521" i="8"/>
  <c r="E9" i="8"/>
  <c r="E176" i="8"/>
  <c r="E343" i="8"/>
  <c r="E510" i="8"/>
  <c r="E725" i="8"/>
  <c r="E622" i="8"/>
  <c r="E275" i="8"/>
  <c r="E706" i="8"/>
  <c r="E801" i="8"/>
  <c r="E896" i="8"/>
  <c r="E991" i="8"/>
  <c r="E923" i="8"/>
  <c r="E57" i="8"/>
  <c r="E798" i="8"/>
  <c r="E733" i="8"/>
  <c r="E522" i="8"/>
  <c r="E308" i="8"/>
  <c r="E475" i="8"/>
  <c r="E641" i="8"/>
  <c r="E129" i="8"/>
  <c r="E296" i="8"/>
  <c r="E463" i="8"/>
  <c r="E630" i="8"/>
  <c r="E118" i="8"/>
  <c r="E306" i="8"/>
  <c r="E45" i="8"/>
  <c r="E612" i="8"/>
  <c r="E100" i="8"/>
  <c r="E267" i="8"/>
  <c r="E433" i="8"/>
  <c r="E600" i="8"/>
  <c r="E88" i="8"/>
  <c r="E255" i="8"/>
  <c r="E422" i="8"/>
  <c r="E902" i="8"/>
  <c r="E837" i="8"/>
  <c r="E748" i="8"/>
  <c r="E412" i="8"/>
  <c r="E579" i="8"/>
  <c r="E67" i="8"/>
  <c r="E233" i="8"/>
  <c r="E400" i="8"/>
  <c r="E567" i="8"/>
  <c r="E55" i="8"/>
  <c r="E222" i="8"/>
  <c r="E702" i="8"/>
  <c r="E493" i="8"/>
  <c r="E138" i="8"/>
  <c r="E212" i="8"/>
  <c r="E379" i="8"/>
  <c r="E545" i="8"/>
  <c r="E33" i="8"/>
  <c r="E200" i="8"/>
  <c r="E367" i="8"/>
  <c r="E534" i="8"/>
  <c r="E22" i="8"/>
  <c r="E949" i="8"/>
  <c r="E860" i="8"/>
  <c r="E524" i="8"/>
  <c r="E12" i="8"/>
  <c r="E179" i="8"/>
  <c r="E345" i="8"/>
  <c r="E512" i="8"/>
  <c r="E679" i="8"/>
  <c r="E167" i="8"/>
  <c r="E334" i="8"/>
  <c r="E814" i="8"/>
  <c r="E749" i="8"/>
  <c r="E586" i="8"/>
  <c r="E324" i="8"/>
  <c r="E491" i="8"/>
  <c r="E657" i="8"/>
  <c r="E145" i="8"/>
  <c r="E312" i="8"/>
  <c r="E479" i="8"/>
  <c r="E646" i="8"/>
  <c r="E134" i="8"/>
  <c r="E402" i="8"/>
  <c r="E141" i="8"/>
  <c r="E636" i="8"/>
  <c r="E124" i="8"/>
  <c r="E291" i="8"/>
  <c r="E457" i="8"/>
  <c r="E624" i="8"/>
  <c r="E112" i="8"/>
  <c r="E279" i="8"/>
  <c r="E446" i="8"/>
  <c r="E158" i="8"/>
  <c r="E498" i="8"/>
  <c r="E237" i="8"/>
  <c r="E660" i="8"/>
  <c r="E148" i="8"/>
  <c r="E315" i="8"/>
  <c r="E481" i="8"/>
  <c r="E648" i="8"/>
  <c r="E136" i="8"/>
  <c r="E303" i="8"/>
  <c r="E470" i="8"/>
  <c r="E950" i="8"/>
  <c r="E885" i="8"/>
  <c r="E796" i="8"/>
  <c r="E460" i="8"/>
  <c r="E627" i="8"/>
  <c r="E115" i="8"/>
  <c r="E281" i="8"/>
  <c r="E448" i="8"/>
  <c r="E615" i="8"/>
  <c r="E103" i="8"/>
  <c r="E270" i="8"/>
  <c r="E750" i="8"/>
  <c r="E685" i="8"/>
  <c r="E330" i="8"/>
  <c r="E260" i="8"/>
  <c r="E427" i="8"/>
  <c r="E593" i="8"/>
  <c r="E81" i="8"/>
  <c r="E248" i="8"/>
  <c r="E415" i="8"/>
  <c r="E582" i="8"/>
  <c r="E70" i="8"/>
  <c r="E146" i="8"/>
  <c r="E908" i="8"/>
  <c r="E572" i="8"/>
  <c r="E60" i="8"/>
  <c r="E227" i="8"/>
  <c r="E393" i="8"/>
  <c r="E560" i="8"/>
  <c r="E48" i="8"/>
  <c r="E215" i="8"/>
  <c r="E382" i="8"/>
  <c r="E94" i="8"/>
  <c r="E242" i="8"/>
  <c r="E964" i="8"/>
  <c r="E596" i="8"/>
  <c r="E84" i="8"/>
  <c r="E251" i="8"/>
  <c r="E417" i="8"/>
  <c r="E584" i="8"/>
  <c r="E72" i="8"/>
  <c r="E239" i="8"/>
  <c r="E406" i="8"/>
  <c r="E886" i="8"/>
  <c r="E821" i="8"/>
  <c r="E732" i="8"/>
  <c r="E396" i="8"/>
  <c r="E563" i="8"/>
  <c r="E51" i="8"/>
  <c r="E217" i="8"/>
  <c r="E384" i="8"/>
  <c r="E551" i="8"/>
  <c r="E39" i="8"/>
  <c r="E206" i="8"/>
  <c r="E686" i="8"/>
  <c r="E429" i="8"/>
  <c r="E74" i="8"/>
  <c r="E196" i="8"/>
  <c r="E363" i="8"/>
  <c r="E529" i="8"/>
  <c r="E17" i="8"/>
  <c r="E184" i="8"/>
  <c r="E351" i="8"/>
  <c r="E518" i="8"/>
  <c r="E6" i="8"/>
  <c r="E933" i="8"/>
  <c r="E844" i="8"/>
  <c r="E508" i="8"/>
  <c r="E675" i="8"/>
  <c r="E163" i="8"/>
  <c r="E329" i="8"/>
  <c r="E496" i="8"/>
  <c r="E663" i="8"/>
  <c r="E151" i="8"/>
  <c r="E318" i="8"/>
  <c r="E633" i="8"/>
  <c r="E101" i="8"/>
  <c r="E962" i="8"/>
  <c r="E795" i="8"/>
  <c r="E125" i="8"/>
  <c r="E506" i="8"/>
  <c r="E735" i="8"/>
  <c r="E234" i="8"/>
  <c r="E46" i="8"/>
  <c r="E114" i="8"/>
  <c r="E900" i="8"/>
  <c r="E564" i="8"/>
  <c r="E52" i="8"/>
  <c r="E219" i="8"/>
  <c r="E385" i="8"/>
  <c r="E552" i="8"/>
  <c r="E40" i="8"/>
  <c r="E207" i="8"/>
  <c r="E374" i="8"/>
  <c r="E846" i="8"/>
  <c r="E781" i="8"/>
  <c r="E692" i="8"/>
  <c r="E356" i="8"/>
  <c r="E523" i="8"/>
  <c r="E11" i="8"/>
  <c r="E177" i="8"/>
  <c r="E344" i="8"/>
  <c r="E511" i="8"/>
  <c r="E678" i="8"/>
  <c r="E166" i="8"/>
  <c r="E530" i="8"/>
  <c r="E269" i="8"/>
  <c r="E668" i="8"/>
  <c r="E156" i="8"/>
  <c r="E323" i="8"/>
  <c r="E489" i="8"/>
  <c r="E656" i="8"/>
  <c r="E144" i="8"/>
  <c r="E311" i="8"/>
  <c r="E478" i="8"/>
  <c r="E958" i="8"/>
  <c r="E893" i="8"/>
  <c r="E804" i="8"/>
  <c r="E468" i="8"/>
  <c r="E635" i="8"/>
  <c r="E123" i="8"/>
  <c r="E289" i="8"/>
  <c r="E456" i="8"/>
  <c r="E623" i="8"/>
  <c r="E111" i="8"/>
  <c r="E278" i="8"/>
  <c r="E758" i="8"/>
  <c r="E693" i="8"/>
  <c r="E362" i="8"/>
  <c r="E268" i="8"/>
  <c r="E435" i="8"/>
  <c r="E601" i="8"/>
  <c r="E89" i="8"/>
  <c r="E256" i="8"/>
  <c r="E423" i="8"/>
  <c r="E590" i="8"/>
  <c r="E78" i="8"/>
  <c r="E178" i="8"/>
  <c r="E916" i="8"/>
  <c r="E580" i="8"/>
  <c r="E68" i="8"/>
  <c r="E235" i="8"/>
  <c r="E401" i="8"/>
  <c r="E568" i="8"/>
  <c r="E56" i="8"/>
  <c r="E223" i="8"/>
  <c r="E390" i="8"/>
  <c r="E870" i="8"/>
  <c r="E805" i="8"/>
  <c r="E716" i="8"/>
  <c r="E380" i="8"/>
  <c r="E547" i="8"/>
  <c r="E35" i="8"/>
  <c r="E201" i="8"/>
  <c r="E368" i="8"/>
  <c r="E535" i="8"/>
  <c r="E23" i="8"/>
  <c r="D14" i="2"/>
  <c r="D15" i="2" s="1"/>
  <c r="D16" i="2" s="1"/>
  <c r="E12" i="2"/>
  <c r="E13" i="2" s="1"/>
  <c r="E7" i="6"/>
  <c r="F5" i="6" s="1"/>
  <c r="K5" i="8" l="1" a="1"/>
  <c r="K15" i="8" s="1"/>
  <c r="E14" i="2"/>
  <c r="E15" i="2" s="1"/>
  <c r="E16" i="2" s="1"/>
  <c r="K14" i="8" l="1"/>
  <c r="K11" i="8"/>
  <c r="K7" i="8"/>
  <c r="K8" i="8"/>
  <c r="K10" i="8"/>
  <c r="K9" i="8"/>
  <c r="K12" i="8"/>
  <c r="K6" i="8"/>
  <c r="K13" i="8"/>
  <c r="K5" i="8"/>
  <c r="F12" i="2"/>
  <c r="F13" i="2" s="1"/>
  <c r="F7" i="6"/>
  <c r="G5" i="6" s="1"/>
  <c r="F14" i="2" l="1"/>
  <c r="F15" i="2" s="1"/>
  <c r="F16" i="2" s="1"/>
  <c r="G7" i="6"/>
  <c r="H5" i="6" s="1"/>
  <c r="G12" i="2" l="1"/>
  <c r="G13" i="2" s="1"/>
  <c r="G14" i="2" l="1"/>
  <c r="G15" i="2" s="1"/>
  <c r="G16" i="2" s="1"/>
  <c r="H12" i="2"/>
  <c r="H13" i="2" s="1"/>
  <c r="H7" i="6"/>
  <c r="I5" i="6" s="1"/>
  <c r="H14" i="2" l="1"/>
  <c r="H15" i="2" s="1"/>
  <c r="H16" i="2" s="1"/>
  <c r="I12" i="2" l="1"/>
  <c r="I13" i="2" s="1"/>
  <c r="I7" i="6"/>
  <c r="J5" i="6" s="1"/>
  <c r="I14" i="2" l="1"/>
  <c r="I15" i="2" s="1"/>
  <c r="I16" i="2" s="1"/>
  <c r="J7" i="6"/>
  <c r="K5" i="6" s="1"/>
  <c r="J12" i="2" l="1"/>
  <c r="J13" i="2" s="1"/>
  <c r="J14" i="2" l="1"/>
  <c r="J15" i="2" s="1"/>
  <c r="J16" i="2" s="1"/>
  <c r="K12" i="2"/>
  <c r="K13" i="2" s="1"/>
  <c r="K7" i="6"/>
  <c r="L5" i="6" s="1"/>
  <c r="B6" i="1" s="1" a="1"/>
  <c r="K6" i="1" s="1"/>
  <c r="B6" i="1" l="1"/>
  <c r="C6" i="1"/>
  <c r="D6" i="1"/>
  <c r="E6" i="1"/>
  <c r="F6" i="1"/>
  <c r="G6" i="1"/>
  <c r="H6" i="1"/>
  <c r="I6" i="1"/>
  <c r="J6" i="1"/>
  <c r="K14" i="2"/>
  <c r="K15" i="2" s="1"/>
  <c r="K16" i="2" s="1"/>
  <c r="L7" i="6"/>
  <c r="L8" i="1" s="1"/>
  <c r="L6" i="1" l="1"/>
  <c r="L12" i="2"/>
  <c r="L13" i="2" s="1"/>
  <c r="L14" i="2" l="1"/>
  <c r="L15" i="2" s="1"/>
  <c r="L16" i="2" s="1"/>
  <c r="B5" i="1" l="1" a="1"/>
  <c r="B5" i="1" l="1"/>
  <c r="B7" i="1" s="1"/>
  <c r="B10" i="1" s="1"/>
  <c r="C5" i="1"/>
  <c r="D5" i="1"/>
  <c r="D7" i="1" s="1"/>
  <c r="D10" i="1" s="1"/>
  <c r="E5" i="1"/>
  <c r="E7" i="1" s="1"/>
  <c r="E10" i="1" s="1"/>
  <c r="F5" i="1"/>
  <c r="F7" i="1" s="1"/>
  <c r="F10" i="1" s="1"/>
  <c r="G5" i="1"/>
  <c r="G7" i="1" s="1"/>
  <c r="G10" i="1" s="1"/>
  <c r="H5" i="1"/>
  <c r="H7" i="1" s="1"/>
  <c r="H10" i="1" s="1"/>
  <c r="I5" i="1"/>
  <c r="I7" i="1" s="1"/>
  <c r="I10" i="1" s="1"/>
  <c r="J5" i="1"/>
  <c r="J7" i="1" s="1"/>
  <c r="J10" i="1" s="1"/>
  <c r="K5" i="1"/>
  <c r="K7" i="1" s="1"/>
  <c r="K10" i="1" s="1"/>
  <c r="L5" i="1"/>
  <c r="L7" i="1" s="1"/>
  <c r="L9" i="1" s="1"/>
  <c r="L10" i="1" l="1"/>
  <c r="C7" i="1"/>
  <c r="C10" i="1" s="1"/>
  <c r="H25" i="1" s="1" a="1"/>
  <c r="H25" i="1" l="1"/>
  <c r="I25" i="1" s="1"/>
  <c r="J25" i="1" s="1"/>
  <c r="I26" i="1"/>
  <c r="I34" i="1"/>
  <c r="I27" i="1"/>
  <c r="I35" i="1"/>
  <c r="I32" i="1"/>
  <c r="I28" i="1"/>
  <c r="I29" i="1"/>
  <c r="I30" i="1"/>
  <c r="I31" i="1"/>
  <c r="I33" i="1"/>
  <c r="B20" i="1"/>
  <c r="C25" i="1" a="1"/>
  <c r="C26" i="1" s="1"/>
  <c r="B22" i="1"/>
  <c r="J26" i="1" l="1"/>
  <c r="J27" i="1" s="1"/>
  <c r="J28" i="1" s="1"/>
  <c r="J29" i="1" s="1"/>
  <c r="J30" i="1" s="1"/>
  <c r="J31" i="1" s="1"/>
  <c r="J32" i="1" s="1"/>
  <c r="J33" i="1" s="1"/>
  <c r="J34" i="1" s="1"/>
  <c r="J35" i="1" s="1"/>
  <c r="M7" i="8"/>
  <c r="M15" i="8"/>
  <c r="M10" i="8"/>
  <c r="M13" i="8"/>
  <c r="M8" i="8"/>
  <c r="M9" i="8"/>
  <c r="M6" i="8"/>
  <c r="M11" i="8"/>
  <c r="M12" i="8"/>
  <c r="M14" i="8"/>
  <c r="B21" i="1"/>
  <c r="M5" i="8"/>
  <c r="C25" i="1"/>
  <c r="D26" i="1" s="1"/>
  <c r="C30" i="1"/>
  <c r="C29" i="1"/>
  <c r="C28" i="1"/>
  <c r="C34" i="1"/>
  <c r="C35" i="1"/>
  <c r="C32" i="1"/>
  <c r="C27" i="1"/>
  <c r="C31" i="1"/>
  <c r="C33" i="1"/>
  <c r="D27" i="1" l="1"/>
  <c r="D28" i="1" s="1"/>
  <c r="D29" i="1" s="1"/>
  <c r="D30" i="1" s="1"/>
  <c r="D31" i="1" s="1"/>
  <c r="D32" i="1" s="1"/>
  <c r="D33" i="1" s="1"/>
  <c r="D34" i="1" s="1"/>
  <c r="D3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<sst xmlns="http://schemas.openxmlformats.org/spreadsheetml/2006/main" count="288" uniqueCount="195">
  <si>
    <t>Engie company</t>
  </si>
  <si>
    <t>Cash Flow Statement</t>
  </si>
  <si>
    <t>[AZN Manat]</t>
  </si>
  <si>
    <t>Terminal value</t>
  </si>
  <si>
    <t>Net income</t>
  </si>
  <si>
    <t>Depreciation</t>
  </si>
  <si>
    <t>Operating cash flow</t>
  </si>
  <si>
    <t xml:space="preserve">Initial Investment </t>
  </si>
  <si>
    <t>Incremental CF</t>
  </si>
  <si>
    <t>Expected exchange rate based on PPP</t>
  </si>
  <si>
    <t>Spot exchange rate</t>
  </si>
  <si>
    <t>Manat/Euro</t>
  </si>
  <si>
    <t>Inflation rate in Azerbaijan</t>
  </si>
  <si>
    <t>Inflation rate in Eurozone</t>
  </si>
  <si>
    <t>Nominal return rate</t>
  </si>
  <si>
    <t>Real return rate</t>
  </si>
  <si>
    <t>Perpetuity growth rate</t>
  </si>
  <si>
    <t>NPV in Manat</t>
  </si>
  <si>
    <t>NPV in Euro</t>
  </si>
  <si>
    <t>IRR</t>
  </si>
  <si>
    <t>Payback normal</t>
  </si>
  <si>
    <t>Payback discounted</t>
  </si>
  <si>
    <t>Year</t>
  </si>
  <si>
    <t>Project A</t>
  </si>
  <si>
    <t>Difference</t>
  </si>
  <si>
    <t>PV (CF)</t>
  </si>
  <si>
    <t>Accumulated</t>
  </si>
  <si>
    <t>Source for other rates</t>
  </si>
  <si>
    <t>Require rate of return</t>
  </si>
  <si>
    <t>Income Statement</t>
  </si>
  <si>
    <t>Tax</t>
  </si>
  <si>
    <t>[AZN manat]</t>
  </si>
  <si>
    <t>Reveneue</t>
  </si>
  <si>
    <t>Maintenance</t>
  </si>
  <si>
    <t>Source</t>
  </si>
  <si>
    <t>Administration</t>
  </si>
  <si>
    <t>Rent and Overhead</t>
  </si>
  <si>
    <t>Utility</t>
  </si>
  <si>
    <t>Insurance</t>
  </si>
  <si>
    <t>Depreciation &amp; Amortization</t>
  </si>
  <si>
    <t>Total Expenses</t>
  </si>
  <si>
    <t>Earnings Before Tax</t>
  </si>
  <si>
    <t>Taxes</t>
  </si>
  <si>
    <t>Capital requirement</t>
  </si>
  <si>
    <t>Turbine capital expenditure</t>
  </si>
  <si>
    <t>Wind turbine</t>
  </si>
  <si>
    <t xml:space="preserve">Balance of system </t>
  </si>
  <si>
    <t>Support structure</t>
  </si>
  <si>
    <t>Electrical Infrastructure</t>
  </si>
  <si>
    <t>Installation</t>
  </si>
  <si>
    <t>Total investment</t>
  </si>
  <si>
    <t>mil</t>
  </si>
  <si>
    <t>Number of turbines</t>
  </si>
  <si>
    <t>Single turbine capacity</t>
  </si>
  <si>
    <t>MW</t>
  </si>
  <si>
    <t>Assumptions based on the information from the source</t>
  </si>
  <si>
    <t>Capex items</t>
  </si>
  <si>
    <t>Estimated price in m€</t>
  </si>
  <si>
    <t>Unit</t>
  </si>
  <si>
    <t>Other assumpions</t>
  </si>
  <si>
    <t>Turbine</t>
  </si>
  <si>
    <t>per MW</t>
  </si>
  <si>
    <t>Platform</t>
  </si>
  <si>
    <t>Hexafloat turbine</t>
  </si>
  <si>
    <t>Moorings</t>
  </si>
  <si>
    <t>per meter</t>
  </si>
  <si>
    <t>Moorings cost = 3*sea depth*3mooring lines for each turbine</t>
  </si>
  <si>
    <t>Estimated sea depth - 80 meters</t>
  </si>
  <si>
    <t>Anchors</t>
  </si>
  <si>
    <t>per turbine</t>
  </si>
  <si>
    <t>Estimated price for 3 anchors</t>
  </si>
  <si>
    <t>Array marine cables</t>
  </si>
  <si>
    <t>Turbines are connected to the offshore substantion by array marine cables</t>
  </si>
  <si>
    <t>Estimated distance between turbines and offshore electrical substantion - 800 meters</t>
  </si>
  <si>
    <t>Export marine cables</t>
  </si>
  <si>
    <t>Export marine cables connect offshore electrical substantion with onshore electrical substantion</t>
  </si>
  <si>
    <t>Estimated distance betweet two electrical substantions - 25km</t>
  </si>
  <si>
    <t>Offshore electrical substantion</t>
  </si>
  <si>
    <t>Onshore electrical substantion</t>
  </si>
  <si>
    <t>Life time</t>
  </si>
  <si>
    <t>Straight-line method</t>
  </si>
  <si>
    <t>Initial value</t>
  </si>
  <si>
    <t>Residual value</t>
  </si>
  <si>
    <t> </t>
  </si>
  <si>
    <t>Revenue</t>
  </si>
  <si>
    <t>Selling price</t>
  </si>
  <si>
    <t>Number of turbine</t>
  </si>
  <si>
    <t>Revenues</t>
  </si>
  <si>
    <t>Back office and asset management</t>
  </si>
  <si>
    <t>Average salary in Azerbaijan py(AZN)</t>
  </si>
  <si>
    <t>Number of employees</t>
  </si>
  <si>
    <t>Total cost per year(AZN)</t>
  </si>
  <si>
    <t>Sources</t>
  </si>
  <si>
    <t>Site Operations</t>
  </si>
  <si>
    <t>Logistics/operational base</t>
  </si>
  <si>
    <t>Size m2</t>
  </si>
  <si>
    <t>Avgerage Cost per month AZN</t>
  </si>
  <si>
    <t>Average cost per year AZN</t>
  </si>
  <si>
    <t>Energy consumption py(KWh)</t>
  </si>
  <si>
    <t>Energy cost py</t>
  </si>
  <si>
    <t>General manager</t>
  </si>
  <si>
    <t>Site Manager</t>
  </si>
  <si>
    <t>Indoor facility/office</t>
  </si>
  <si>
    <t>Finance Manager</t>
  </si>
  <si>
    <t>Control Room operator</t>
  </si>
  <si>
    <t>Indoor warehouse facilities</t>
  </si>
  <si>
    <t>Accountant</t>
  </si>
  <si>
    <t>Shift Supervisor</t>
  </si>
  <si>
    <t>Outdoor storage space</t>
  </si>
  <si>
    <t>Legal</t>
  </si>
  <si>
    <t>Admin Support</t>
  </si>
  <si>
    <t>Parking space</t>
  </si>
  <si>
    <t>Procurement Manager</t>
  </si>
  <si>
    <t>Plant Technicians</t>
  </si>
  <si>
    <t>Total</t>
  </si>
  <si>
    <t>Contract Manager</t>
  </si>
  <si>
    <t>WTG Technicians</t>
  </si>
  <si>
    <t>Insurance manager</t>
  </si>
  <si>
    <t>Store room operator</t>
  </si>
  <si>
    <t xml:space="preserve">Energy consumption kWh/sqm warehouse </t>
  </si>
  <si>
    <t>Project administration</t>
  </si>
  <si>
    <t>Offshore engineer manager</t>
  </si>
  <si>
    <t>Performance Engineer</t>
  </si>
  <si>
    <t>Subsea enginner</t>
  </si>
  <si>
    <t>Energy consumption office kWh/sqm</t>
  </si>
  <si>
    <t>Turbine platform engineer</t>
  </si>
  <si>
    <t>Electrical Engineer</t>
  </si>
  <si>
    <t>Cost for business per kWh</t>
  </si>
  <si>
    <t>Control system manager</t>
  </si>
  <si>
    <t>System engineer</t>
  </si>
  <si>
    <t>HV Switching technicians</t>
  </si>
  <si>
    <t>Market cap (mil)</t>
  </si>
  <si>
    <t>Engie finance yahoo</t>
  </si>
  <si>
    <t>Risk-free rate</t>
  </si>
  <si>
    <t>10-year government bond in France</t>
  </si>
  <si>
    <t>Total debt (mil)</t>
  </si>
  <si>
    <t xml:space="preserve">Beta </t>
  </si>
  <si>
    <t>beta</t>
  </si>
  <si>
    <t>V</t>
  </si>
  <si>
    <t>Market risk premium</t>
  </si>
  <si>
    <t>market risk premium</t>
  </si>
  <si>
    <t>E/V</t>
  </si>
  <si>
    <t>Cost of equity</t>
  </si>
  <si>
    <t>D/V</t>
  </si>
  <si>
    <t>WACC</t>
  </si>
  <si>
    <t>Interest expense</t>
  </si>
  <si>
    <t>Average debt</t>
  </si>
  <si>
    <t>Cost of debt</t>
  </si>
  <si>
    <t>Tax rate</t>
  </si>
  <si>
    <t>Corporate tax rate</t>
  </si>
  <si>
    <t>Average tax rate</t>
  </si>
  <si>
    <t>Cost per kwh</t>
  </si>
  <si>
    <t>Expenses</t>
  </si>
  <si>
    <t>Cost per Mwh</t>
  </si>
  <si>
    <t>Volume (kwh)</t>
  </si>
  <si>
    <t>Sensitivity cases</t>
  </si>
  <si>
    <t>Range</t>
  </si>
  <si>
    <t>Frequency price</t>
  </si>
  <si>
    <t>Frequency expenses</t>
  </si>
  <si>
    <t>Wages &amp; Rent</t>
  </si>
  <si>
    <t>[Euro]</t>
  </si>
  <si>
    <t>Volume (Mwh)</t>
  </si>
  <si>
    <t>Turbines</t>
  </si>
  <si>
    <t>EBITDA</t>
  </si>
  <si>
    <t>Differences in the net income with different selling price and expenses</t>
  </si>
  <si>
    <t>Sensitivity cases with selling price and expenses</t>
  </si>
  <si>
    <t>Exchange rate</t>
  </si>
  <si>
    <t>Sensitivity cases with net income</t>
  </si>
  <si>
    <t xml:space="preserve">Share according to market capitalization </t>
  </si>
  <si>
    <t xml:space="preserve">Energy industry </t>
  </si>
  <si>
    <t xml:space="preserve">Electricity industry </t>
  </si>
  <si>
    <t>Engie $b</t>
  </si>
  <si>
    <t>Industry total $b</t>
  </si>
  <si>
    <t>Industry total  $b</t>
  </si>
  <si>
    <t>Share in energy industry</t>
  </si>
  <si>
    <t>Share in electricity industry</t>
  </si>
  <si>
    <t>Market Share</t>
  </si>
  <si>
    <t>Revenue in renewables</t>
  </si>
  <si>
    <t>Engie renew revenue €b</t>
  </si>
  <si>
    <t>Renew energy market size €b</t>
  </si>
  <si>
    <t xml:space="preserve">Market Share </t>
  </si>
  <si>
    <t>Countries</t>
  </si>
  <si>
    <t>Revenue per region</t>
  </si>
  <si>
    <t>% of total</t>
  </si>
  <si>
    <t xml:space="preserve">France </t>
  </si>
  <si>
    <t>Belgium</t>
  </si>
  <si>
    <t>Other EU</t>
  </si>
  <si>
    <t>Other European countries</t>
  </si>
  <si>
    <t>North America</t>
  </si>
  <si>
    <t>Asia, Middle East &amp; Oceania</t>
  </si>
  <si>
    <t>South America</t>
  </si>
  <si>
    <t>Africa</t>
  </si>
  <si>
    <t xml:space="preserve">Total </t>
  </si>
  <si>
    <t>Market share</t>
  </si>
  <si>
    <t>Revenue2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</si>
</sst>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 &quot;€&quot;\ * #,##0.00_ ;_ &quot;€&quot;\ * \-#,##0.00_ ;_ &quot;€&quot;\ * &quot;-&quot;??_ ;_ @_ "/>
    <numFmt numFmtId="164" formatCode="_-* #,##0.00_-;\-* #,##0.00_-;_-* &quot;-&quot;??_-;_-@_-"/>
    <numFmt numFmtId="165" formatCode="_-* #,##0_-;\(#,##0\)_-;_-* &quot;-&quot;_-;_-@_-"/>
    <numFmt numFmtId="166" formatCode="_-* #,##0.00_-;\(#,##0.00\)_-;_-* &quot;-&quot;_-;_-@_-"/>
    <numFmt numFmtId="167" formatCode="_-* #,##0.00\ [$₼-42C]_-;\-* #,##0.00\ [$₼-42C]_-;_-* &quot;-&quot;??\ [$₼-42C]_-;_-@_-"/>
    <numFmt numFmtId="168" formatCode="_ * #,##0_ ;_ * \-#,##0_ ;_ * &quot;-&quot;??_ ;_ @_ "/>
    <numFmt numFmtId="169" formatCode="0.0000"/>
    <numFmt numFmtId="170" formatCode="_-* #,##0.00\ [$€-40C]_-;\-* #,##0.00\ [$€-40C]_-;_-* &quot;-&quot;??\ [$€-40C]_-;_-@_-"/>
    <numFmt numFmtId="171" formatCode="_-* #,##0\ [$₼-42C]_-;\-* #,##0\ [$₼-42C]_-;_-* &quot;-&quot;\ [$₼-42C]_-;_-@_-"/>
    <numFmt numFmtId="172" formatCode="_-* #,##0\ [$₼-42C]_-;\-* #,##0\ [$₼-42C]_-;_-* &quot;-&quot;??\ [$₼-42C]_-;_-@_-"/>
    <numFmt numFmtId="173" formatCode="0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8"/>
      <color theme="0"/>
      <name val="Open Sans"/>
      <family val="2"/>
    </font>
    <font>
      <b/>
      <sz val="14"/>
      <color theme="0"/>
      <name val="Open Sans"/>
      <family val="2"/>
    </font>
    <font>
      <b/>
      <sz val="10"/>
      <color theme="0"/>
      <name val="Open Sans"/>
      <family val="2"/>
    </font>
    <font>
      <sz val="10"/>
      <color theme="0"/>
      <name val="Open Sans"/>
      <family val="2"/>
    </font>
    <font>
      <sz val="10"/>
      <color theme="1"/>
      <name val="Open Sans"/>
      <family val="2"/>
    </font>
    <font>
      <b/>
      <sz val="10"/>
      <color theme="1"/>
      <name val="Open Sans"/>
      <family val="2"/>
    </font>
    <font>
      <sz val="10"/>
      <color rgb="FF0000FF"/>
      <name val="Open Sans"/>
      <family val="2"/>
    </font>
    <font>
      <b/>
      <sz val="10"/>
      <name val="Open Sans"/>
      <family val="2"/>
    </font>
    <font>
      <b/>
      <sz val="10"/>
      <color rgb="FF0000FF"/>
      <name val="Open Sans"/>
      <family val="2"/>
    </font>
    <font>
      <u/>
      <sz val="11"/>
      <color theme="10"/>
      <name val="Calibri"/>
      <family val="2"/>
      <scheme val="minor"/>
    </font>
    <font>
      <b/>
      <sz val="10"/>
      <color theme="1"/>
      <name val="Open Sans"/>
    </font>
    <font>
      <sz val="10"/>
      <color theme="1"/>
      <name val="Open Sans"/>
    </font>
    <font>
      <sz val="10"/>
      <color rgb="FF0000FF"/>
      <name val="Open Sans"/>
    </font>
    <font>
      <b/>
      <sz val="10"/>
      <color theme="0"/>
      <name val="Open Sans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charset val="186"/>
    </font>
    <font>
      <b/>
      <sz val="11"/>
      <color rgb="FF000000"/>
      <name val="Calibri"/>
      <family val="2"/>
      <charset val="186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32E5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" fillId="0" borderId="0"/>
    <xf numFmtId="0" fontId="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160">
    <xf numFmtId="0" fontId="0" fillId="0" borderId="0" xfId="0"/>
    <xf numFmtId="165" fontId="3" fillId="2" borderId="0" xfId="1" applyNumberFormat="1" applyFont="1" applyFill="1" applyAlignment="1">
      <alignment horizontal="right"/>
    </xf>
    <xf numFmtId="0" fontId="4" fillId="2" borderId="0" xfId="0" applyFont="1" applyFill="1"/>
    <xf numFmtId="0" fontId="6" fillId="2" borderId="0" xfId="0" applyFont="1" applyFill="1"/>
    <xf numFmtId="165" fontId="7" fillId="0" borderId="0" xfId="1" applyNumberFormat="1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centerContinuous"/>
    </xf>
    <xf numFmtId="0" fontId="5" fillId="2" borderId="0" xfId="0" applyFont="1" applyFill="1" applyAlignment="1">
      <alignment horizontal="right"/>
    </xf>
    <xf numFmtId="165" fontId="8" fillId="0" borderId="0" xfId="1" applyNumberFormat="1" applyFont="1"/>
    <xf numFmtId="165" fontId="10" fillId="0" borderId="1" xfId="1" applyNumberFormat="1" applyFont="1" applyBorder="1"/>
    <xf numFmtId="165" fontId="8" fillId="0" borderId="0" xfId="1" applyNumberFormat="1" applyFont="1" applyBorder="1"/>
    <xf numFmtId="165" fontId="9" fillId="0" borderId="0" xfId="1" applyNumberFormat="1" applyFont="1" applyBorder="1"/>
    <xf numFmtId="165" fontId="7" fillId="0" borderId="0" xfId="1" applyNumberFormat="1" applyFont="1" applyBorder="1"/>
    <xf numFmtId="165" fontId="13" fillId="0" borderId="0" xfId="1" applyNumberFormat="1" applyFont="1"/>
    <xf numFmtId="165" fontId="7" fillId="0" borderId="0" xfId="1" applyNumberFormat="1" applyFont="1" applyFill="1" applyBorder="1"/>
    <xf numFmtId="165" fontId="14" fillId="0" borderId="0" xfId="1" applyNumberFormat="1" applyFont="1" applyBorder="1"/>
    <xf numFmtId="165" fontId="14" fillId="0" borderId="0" xfId="1" applyNumberFormat="1" applyFont="1"/>
    <xf numFmtId="10" fontId="6" fillId="2" borderId="0" xfId="0" applyNumberFormat="1" applyFont="1" applyFill="1"/>
    <xf numFmtId="165" fontId="7" fillId="3" borderId="0" xfId="1" applyNumberFormat="1" applyFont="1" applyFill="1" applyBorder="1"/>
    <xf numFmtId="0" fontId="16" fillId="2" borderId="0" xfId="0" applyFont="1" applyFill="1"/>
    <xf numFmtId="165" fontId="8" fillId="0" borderId="0" xfId="1" applyNumberFormat="1" applyFont="1" applyFill="1" applyBorder="1"/>
    <xf numFmtId="9" fontId="0" fillId="0" borderId="0" xfId="0" applyNumberFormat="1"/>
    <xf numFmtId="0" fontId="12" fillId="0" borderId="0" xfId="7"/>
    <xf numFmtId="166" fontId="15" fillId="0" borderId="0" xfId="1" applyNumberFormat="1" applyFont="1" applyFill="1"/>
    <xf numFmtId="0" fontId="12" fillId="0" borderId="0" xfId="7" applyNumberFormat="1"/>
    <xf numFmtId="10" fontId="0" fillId="0" borderId="0" xfId="0" applyNumberFormat="1"/>
    <xf numFmtId="2" fontId="0" fillId="0" borderId="0" xfId="0" applyNumberFormat="1"/>
    <xf numFmtId="0" fontId="18" fillId="0" borderId="0" xfId="0" applyFont="1"/>
    <xf numFmtId="0" fontId="18" fillId="0" borderId="2" xfId="0" applyFont="1" applyBorder="1"/>
    <xf numFmtId="0" fontId="17" fillId="0" borderId="4" xfId="0" applyFont="1" applyBorder="1" applyAlignment="1">
      <alignment horizontal="center" wrapText="1"/>
    </xf>
    <xf numFmtId="0" fontId="18" fillId="0" borderId="7" xfId="0" applyFont="1" applyBorder="1"/>
    <xf numFmtId="167" fontId="18" fillId="0" borderId="7" xfId="0" applyNumberFormat="1" applyFont="1" applyBorder="1"/>
    <xf numFmtId="0" fontId="17" fillId="0" borderId="4" xfId="0" applyFont="1" applyBorder="1"/>
    <xf numFmtId="0" fontId="12" fillId="0" borderId="0" xfId="0" applyFont="1"/>
    <xf numFmtId="0" fontId="0" fillId="0" borderId="8" xfId="0" applyBorder="1"/>
    <xf numFmtId="0" fontId="0" fillId="0" borderId="10" xfId="0" applyBorder="1"/>
    <xf numFmtId="0" fontId="17" fillId="0" borderId="2" xfId="0" applyFont="1" applyBorder="1" applyAlignment="1">
      <alignment horizontal="center" wrapText="1"/>
    </xf>
    <xf numFmtId="167" fontId="0" fillId="0" borderId="0" xfId="0" applyNumberFormat="1"/>
    <xf numFmtId="0" fontId="20" fillId="0" borderId="0" xfId="0" applyFont="1" applyAlignment="1">
      <alignment horizontal="center" wrapText="1"/>
    </xf>
    <xf numFmtId="0" fontId="20" fillId="0" borderId="0" xfId="0" applyFont="1"/>
    <xf numFmtId="0" fontId="21" fillId="0" borderId="0" xfId="0" applyFont="1"/>
    <xf numFmtId="168" fontId="7" fillId="0" borderId="0" xfId="1" applyNumberFormat="1" applyFont="1"/>
    <xf numFmtId="169" fontId="0" fillId="0" borderId="0" xfId="0" applyNumberFormat="1"/>
    <xf numFmtId="167" fontId="15" fillId="0" borderId="0" xfId="1" applyNumberFormat="1" applyFont="1" applyFill="1"/>
    <xf numFmtId="167" fontId="9" fillId="0" borderId="0" xfId="1" applyNumberFormat="1" applyFont="1"/>
    <xf numFmtId="167" fontId="15" fillId="0" borderId="2" xfId="1" applyNumberFormat="1" applyFont="1" applyBorder="1"/>
    <xf numFmtId="167" fontId="10" fillId="0" borderId="0" xfId="1" applyNumberFormat="1" applyFont="1" applyBorder="1"/>
    <xf numFmtId="167" fontId="10" fillId="0" borderId="1" xfId="1" applyNumberFormat="1" applyFont="1" applyBorder="1"/>
    <xf numFmtId="167" fontId="10" fillId="0" borderId="3" xfId="1" applyNumberFormat="1" applyFont="1" applyBorder="1"/>
    <xf numFmtId="167" fontId="8" fillId="0" borderId="0" xfId="1" applyNumberFormat="1" applyFont="1" applyBorder="1"/>
    <xf numFmtId="167" fontId="11" fillId="0" borderId="0" xfId="1" applyNumberFormat="1" applyFont="1" applyBorder="1"/>
    <xf numFmtId="167" fontId="7" fillId="0" borderId="0" xfId="1" applyNumberFormat="1" applyFont="1"/>
    <xf numFmtId="0" fontId="22" fillId="0" borderId="4" xfId="0" applyFont="1" applyBorder="1"/>
    <xf numFmtId="167" fontId="22" fillId="0" borderId="4" xfId="0" applyNumberFormat="1" applyFont="1" applyBorder="1"/>
    <xf numFmtId="167" fontId="22" fillId="0" borderId="2" xfId="0" applyNumberFormat="1" applyFont="1" applyBorder="1"/>
    <xf numFmtId="0" fontId="12" fillId="0" borderId="2" xfId="7" applyBorder="1"/>
    <xf numFmtId="0" fontId="22" fillId="0" borderId="5" xfId="0" applyFont="1" applyBorder="1"/>
    <xf numFmtId="167" fontId="22" fillId="0" borderId="5" xfId="0" applyNumberFormat="1" applyFont="1" applyBorder="1"/>
    <xf numFmtId="167" fontId="22" fillId="0" borderId="6" xfId="0" applyNumberFormat="1" applyFont="1" applyBorder="1"/>
    <xf numFmtId="0" fontId="12" fillId="0" borderId="6" xfId="7" applyBorder="1"/>
    <xf numFmtId="167" fontId="0" fillId="0" borderId="2" xfId="0" applyNumberFormat="1" applyBorder="1"/>
    <xf numFmtId="167" fontId="0" fillId="0" borderId="6" xfId="0" applyNumberFormat="1" applyBorder="1"/>
    <xf numFmtId="0" fontId="23" fillId="0" borderId="0" xfId="0" applyFont="1"/>
    <xf numFmtId="10" fontId="0" fillId="0" borderId="8" xfId="0" applyNumberFormat="1" applyBorder="1"/>
    <xf numFmtId="10" fontId="0" fillId="0" borderId="10" xfId="0" applyNumberFormat="1" applyBorder="1"/>
    <xf numFmtId="44" fontId="0" fillId="0" borderId="8" xfId="0" applyNumberFormat="1" applyBorder="1"/>
    <xf numFmtId="44" fontId="0" fillId="0" borderId="10" xfId="0" applyNumberFormat="1" applyBorder="1"/>
    <xf numFmtId="9" fontId="0" fillId="0" borderId="8" xfId="0" applyNumberFormat="1" applyBorder="1"/>
    <xf numFmtId="3" fontId="0" fillId="0" borderId="8" xfId="0" applyNumberFormat="1" applyBorder="1"/>
    <xf numFmtId="2" fontId="0" fillId="0" borderId="8" xfId="0" applyNumberFormat="1" applyBorder="1"/>
    <xf numFmtId="2" fontId="0" fillId="0" borderId="10" xfId="0" applyNumberFormat="1" applyBorder="1"/>
    <xf numFmtId="167" fontId="15" fillId="0" borderId="0" xfId="1" applyNumberFormat="1" applyFont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24" fillId="0" borderId="15" xfId="0" applyFont="1" applyBorder="1"/>
    <xf numFmtId="0" fontId="0" fillId="0" borderId="18" xfId="0" applyBorder="1"/>
    <xf numFmtId="0" fontId="0" fillId="0" borderId="19" xfId="0" applyBorder="1"/>
    <xf numFmtId="0" fontId="20" fillId="0" borderId="18" xfId="0" applyFont="1" applyBorder="1"/>
    <xf numFmtId="0" fontId="25" fillId="0" borderId="15" xfId="0" applyFont="1" applyBorder="1"/>
    <xf numFmtId="0" fontId="25" fillId="0" borderId="13" xfId="0" applyFont="1" applyBorder="1"/>
    <xf numFmtId="0" fontId="20" fillId="0" borderId="16" xfId="0" applyFont="1" applyBorder="1"/>
    <xf numFmtId="0" fontId="20" fillId="0" borderId="15" xfId="0" applyFont="1" applyBorder="1"/>
    <xf numFmtId="0" fontId="25" fillId="0" borderId="18" xfId="0" applyFont="1" applyBorder="1"/>
    <xf numFmtId="0" fontId="0" fillId="0" borderId="17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left"/>
    </xf>
    <xf numFmtId="0" fontId="0" fillId="0" borderId="14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14" xfId="0" applyBorder="1" applyAlignment="1">
      <alignment horizontal="left"/>
    </xf>
    <xf numFmtId="170" fontId="15" fillId="0" borderId="0" xfId="1" applyNumberFormat="1" applyFont="1" applyFill="1"/>
    <xf numFmtId="170" fontId="0" fillId="0" borderId="0" xfId="0" applyNumberFormat="1"/>
    <xf numFmtId="170" fontId="10" fillId="0" borderId="3" xfId="1" applyNumberFormat="1" applyFont="1" applyBorder="1"/>
    <xf numFmtId="171" fontId="15" fillId="0" borderId="0" xfId="1" applyNumberFormat="1" applyFont="1" applyFill="1"/>
    <xf numFmtId="167" fontId="7" fillId="0" borderId="8" xfId="1" applyNumberFormat="1" applyFont="1" applyBorder="1"/>
    <xf numFmtId="167" fontId="10" fillId="0" borderId="2" xfId="1" applyNumberFormat="1" applyFont="1" applyBorder="1"/>
    <xf numFmtId="167" fontId="6" fillId="2" borderId="0" xfId="0" applyNumberFormat="1" applyFont="1" applyFill="1"/>
    <xf numFmtId="0" fontId="0" fillId="0" borderId="20" xfId="0" applyBorder="1"/>
    <xf numFmtId="0" fontId="0" fillId="4" borderId="0" xfId="0" applyFill="1"/>
    <xf numFmtId="0" fontId="0" fillId="4" borderId="21" xfId="0" applyFill="1" applyBorder="1"/>
    <xf numFmtId="172" fontId="0" fillId="0" borderId="8" xfId="0" applyNumberFormat="1" applyBorder="1"/>
    <xf numFmtId="0" fontId="20" fillId="0" borderId="8" xfId="0" applyFont="1" applyBorder="1"/>
    <xf numFmtId="172" fontId="20" fillId="0" borderId="8" xfId="0" applyNumberFormat="1" applyFont="1" applyBorder="1"/>
    <xf numFmtId="0" fontId="20" fillId="0" borderId="22" xfId="0" applyFont="1" applyBorder="1"/>
    <xf numFmtId="9" fontId="0" fillId="4" borderId="22" xfId="0" applyNumberFormat="1" applyFill="1" applyBorder="1"/>
    <xf numFmtId="167" fontId="0" fillId="4" borderId="22" xfId="0" applyNumberFormat="1" applyFill="1" applyBorder="1"/>
    <xf numFmtId="0" fontId="0" fillId="4" borderId="22" xfId="0" applyFill="1" applyBorder="1"/>
    <xf numFmtId="9" fontId="0" fillId="4" borderId="0" xfId="0" applyNumberFormat="1" applyFill="1"/>
    <xf numFmtId="167" fontId="0" fillId="4" borderId="0" xfId="0" applyNumberFormat="1" applyFill="1"/>
    <xf numFmtId="9" fontId="0" fillId="4" borderId="21" xfId="0" applyNumberFormat="1" applyFill="1" applyBorder="1"/>
    <xf numFmtId="167" fontId="0" fillId="4" borderId="21" xfId="0" applyNumberFormat="1" applyFill="1" applyBorder="1"/>
    <xf numFmtId="172" fontId="20" fillId="0" borderId="0" xfId="0" applyNumberFormat="1" applyFont="1"/>
    <xf numFmtId="2" fontId="20" fillId="0" borderId="8" xfId="0" applyNumberFormat="1" applyFont="1" applyBorder="1"/>
    <xf numFmtId="0" fontId="0" fillId="5" borderId="11" xfId="0" applyFill="1" applyBorder="1"/>
    <xf numFmtId="10" fontId="0" fillId="5" borderId="11" xfId="0" applyNumberFormat="1" applyFill="1" applyBorder="1"/>
    <xf numFmtId="0" fontId="0" fillId="0" borderId="2" xfId="0" applyBorder="1"/>
    <xf numFmtId="167" fontId="26" fillId="0" borderId="0" xfId="0" applyNumberFormat="1" applyFont="1"/>
    <xf numFmtId="167" fontId="0" fillId="0" borderId="3" xfId="0" applyNumberFormat="1" applyBorder="1"/>
    <xf numFmtId="167" fontId="0" fillId="0" borderId="7" xfId="0" applyNumberFormat="1" applyBorder="1"/>
    <xf numFmtId="167" fontId="0" fillId="0" borderId="4" xfId="0" applyNumberFormat="1" applyBorder="1"/>
    <xf numFmtId="9" fontId="0" fillId="0" borderId="0" xfId="8" applyFont="1" applyFill="1" applyBorder="1" applyAlignment="1"/>
    <xf numFmtId="9" fontId="0" fillId="0" borderId="0" xfId="8" applyFont="1" applyBorder="1"/>
    <xf numFmtId="9" fontId="0" fillId="0" borderId="2" xfId="8" applyFont="1" applyFill="1" applyBorder="1" applyAlignment="1"/>
    <xf numFmtId="9" fontId="0" fillId="0" borderId="1" xfId="8" applyFont="1" applyBorder="1"/>
    <xf numFmtId="167" fontId="0" fillId="0" borderId="24" xfId="0" applyNumberFormat="1" applyBorder="1"/>
    <xf numFmtId="167" fontId="0" fillId="0" borderId="26" xfId="0" applyNumberFormat="1" applyBorder="1"/>
    <xf numFmtId="9" fontId="0" fillId="0" borderId="25" xfId="0" applyNumberFormat="1" applyBorder="1"/>
    <xf numFmtId="9" fontId="0" fillId="0" borderId="7" xfId="0" applyNumberFormat="1" applyBorder="1"/>
    <xf numFmtId="172" fontId="20" fillId="0" borderId="24" xfId="0" applyNumberFormat="1" applyFont="1" applyBorder="1"/>
    <xf numFmtId="172" fontId="20" fillId="0" borderId="7" xfId="0" applyNumberFormat="1" applyFont="1" applyBorder="1"/>
    <xf numFmtId="172" fontId="20" fillId="0" borderId="4" xfId="0" applyNumberFormat="1" applyFont="1" applyBorder="1"/>
    <xf numFmtId="167" fontId="20" fillId="0" borderId="26" xfId="0" applyNumberFormat="1" applyFont="1" applyBorder="1"/>
    <xf numFmtId="167" fontId="20" fillId="0" borderId="2" xfId="0" applyNumberFormat="1" applyFont="1" applyBorder="1"/>
    <xf numFmtId="167" fontId="20" fillId="0" borderId="4" xfId="0" applyNumberFormat="1" applyFont="1" applyBorder="1"/>
    <xf numFmtId="167" fontId="20" fillId="0" borderId="0" xfId="0" applyNumberFormat="1" applyFont="1"/>
    <xf numFmtId="2" fontId="0" fillId="4" borderId="22" xfId="0" applyNumberFormat="1" applyFill="1" applyBorder="1"/>
    <xf numFmtId="2" fontId="0" fillId="4" borderId="0" xfId="0" applyNumberFormat="1" applyFill="1"/>
    <xf numFmtId="2" fontId="0" fillId="4" borderId="21" xfId="0" applyNumberFormat="1" applyFill="1" applyBorder="1"/>
    <xf numFmtId="0" fontId="17" fillId="0" borderId="0" xfId="0" applyFont="1"/>
    <xf numFmtId="0" fontId="18" fillId="0" borderId="11" xfId="0" applyFont="1" applyBorder="1"/>
    <xf numFmtId="0" fontId="18" fillId="0" borderId="4" xfId="0" applyFont="1" applyBorder="1"/>
    <xf numFmtId="10" fontId="18" fillId="0" borderId="4" xfId="0" applyNumberFormat="1" applyFont="1" applyBorder="1"/>
    <xf numFmtId="3" fontId="18" fillId="0" borderId="4" xfId="0" applyNumberFormat="1" applyFont="1" applyBorder="1"/>
    <xf numFmtId="10" fontId="18" fillId="0" borderId="0" xfId="0" applyNumberFormat="1" applyFont="1"/>
    <xf numFmtId="10" fontId="18" fillId="0" borderId="7" xfId="0" applyNumberFormat="1" applyFont="1" applyBorder="1"/>
    <xf numFmtId="173" fontId="18" fillId="0" borderId="0" xfId="0" applyNumberFormat="1" applyFont="1"/>
    <xf numFmtId="0" fontId="6" fillId="2" borderId="0" xfId="0" applyFont="1" applyFill="1" applyAlignment="1">
      <alignment horizontal="left"/>
    </xf>
    <xf numFmtId="0" fontId="20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/>
    </xf>
    <xf numFmtId="10" fontId="0" fillId="5" borderId="12" xfId="0" applyNumberFormat="1" applyFill="1" applyBorder="1" applyAlignment="1">
      <alignment horizontal="center"/>
    </xf>
    <xf numFmtId="10" fontId="0" fillId="5" borderId="9" xfId="0" applyNumberFormat="1" applyFill="1" applyBorder="1" applyAlignment="1">
      <alignment horizontal="center"/>
    </xf>
    <xf numFmtId="0" fontId="20" fillId="0" borderId="23" xfId="0" applyFont="1" applyBorder="1" applyAlignment="1">
      <alignment horizontal="center" wrapText="1"/>
    </xf>
    <xf numFmtId="0" fontId="20" fillId="0" borderId="1" xfId="0" applyFont="1" applyBorder="1" applyAlignment="1">
      <alignment horizontal="center" wrapText="1"/>
    </xf>
    <xf numFmtId="0" fontId="20" fillId="0" borderId="24" xfId="0" applyFont="1" applyBorder="1" applyAlignment="1">
      <alignment horizont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</cellXfs>
  <cellStyles count="9">
    <cellStyle name="Comma 2" xfId="1" xr:uid="{34C1B99B-5860-47E9-88C0-F27522C98438}"/>
    <cellStyle name="Hyperlink" xfId="7" builtinId="8"/>
    <cellStyle name="Hyperlink 2" xfId="3" xr:uid="{8D17DF35-BCDE-47E5-A13D-C795B72CB440}"/>
    <cellStyle name="Hyperlink 2 2" xfId="6" xr:uid="{237FDD0F-480F-424F-8071-1BC5FC9F25CF}"/>
    <cellStyle name="Hyperlink 3" xfId="4" xr:uid="{F651265B-313A-48DF-8B77-FE9B2C7CECD4}"/>
    <cellStyle name="Normal" xfId="0" builtinId="0"/>
    <cellStyle name="Normal 2" xfId="2" xr:uid="{49097019-F14C-46B0-83DB-22F5BDD83066}"/>
    <cellStyle name="Normal 2 2 2" xfId="5" xr:uid="{72476F9C-C178-43D8-BF43-537D8974973B}"/>
    <cellStyle name="Percent" xfId="8" builtinId="5"/>
  </cellStyles>
  <dxfs count="6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14" formatCode="0.00%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3" formatCode="#,##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border diagonalUp="0" diagonalDown="0">
        <left/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color rgb="FF9C0006"/>
      </font>
    </dxf>
    <dxf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/>
        <vertAlign val="baseline"/>
        <sz val="11"/>
        <color theme="1"/>
        <name val="Calibri"/>
        <family val="2"/>
        <scheme val="minor"/>
      </font>
    </dxf>
    <dxf>
      <numFmt numFmtId="167" formatCode="_-* #,##0.00\ [$₼-42C]_-;\-* #,##0.00\ [$₼-42C]_-;_-* &quot;-&quot;??\ [$₼-42C]_-;_-@_-"/>
    </dxf>
    <dxf>
      <numFmt numFmtId="167" formatCode="_-* #,##0.00\ [$₼-42C]_-;\-* #,##0.00\ [$₼-42C]_-;_-* &quot;-&quot;??\ [$₼-42C]_-;_-@_-"/>
    </dxf>
    <dxf>
      <numFmt numFmtId="167" formatCode="_-* #,##0.00\ [$₼-42C]_-;\-* #,##0.00\ [$₼-42C]_-;_-* &quot;-&quot;??\ [$₼-42C]_-;_-@_-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167" formatCode="_-* #,##0.00\ [$₼-42C]_-;\-* #,##0.00\ [$₼-42C]_-;_-* &quot;-&quot;??\ [$₼-42C]_-;_-@_-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7" formatCode="_-* #,##0.00\ [$₼-42C]_-;\-* #,##0.00\ [$₼-42C]_-;_-* &quot;-&quot;??\ [$₼-42C]_-;_-@_-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7" formatCode="_-* #,##0.00\ [$₼-42C]_-;\-* #,##0.00\ [$₼-42C]_-;_-* &quot;-&quot;??\ [$₼-42C]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167" formatCode="_-* #,##0.00\ [$₼-42C]_-;\-* #,##0.00\ [$₼-42C]_-;_-* &quot;-&quot;??\ [$₼-42C]_-;_-@_-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7" formatCode="_-* #,##0.00\ [$₼-42C]_-;\-* #,##0.00\ [$₼-42C]_-;_-* &quot;-&quot;??\ [$₼-42C]_-;_-@_-"/>
      <border diagonalUp="0" diagonalDown="0" outline="0">
        <left/>
        <right style="thin">
          <color indexed="64"/>
        </right>
        <top/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border diagonalUp="0" diagonalDown="0" outline="0">
        <left/>
        <right style="thin">
          <color indexed="64"/>
        </right>
        <top/>
        <bottom style="double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167" formatCode="_-* #,##0.00\ [$₼-42C]_-;\-* #,##0.00\ [$₼-42C]_-;_-* &quot;-&quot;??\ [$₼-42C]_-;_-@_-"/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167" formatCode="_-* #,##0.00\ [$₼-42C]_-;\-* #,##0.00\ [$₼-42C]_-;_-* &quot;-&quot;??\ [$₼-42C]_-;_-@_-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7" formatCode="_-* #,##0.00\ [$₼-42C]_-;\-* #,##0.00\ [$₼-42C]_-;_-* &quot;-&quot;??\ [$₼-42C]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167" formatCode="_-* #,##0.00\ [$₼-42C]_-;\-* #,##0.00\ [$₼-42C]_-;_-* &quot;-&quot;??\ [$₼-42C]_-;_-@_-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7" formatCode="_-* #,##0.00\ [$₼-42C]_-;\-* #,##0.00\ [$₼-42C]_-;_-* &quot;-&quot;??\ [$₼-42C]_-;_-@_-"/>
      <border diagonalUp="0" diagonalDown="0" outline="0">
        <left/>
        <right style="thin">
          <color indexed="64"/>
        </right>
        <top/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border diagonalUp="0" diagonalDown="0" outline="0">
        <left/>
        <right style="thin">
          <color indexed="64"/>
        </right>
        <top/>
        <bottom style="double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</dxf>
    <dxf>
      <border outline="0">
        <bottom style="thin">
          <color indexed="64"/>
        </bottom>
      </border>
    </dxf>
    <dxf>
      <border diagonalUp="0" diagonalDown="0">
        <left style="thin">
          <color rgb="FF000000"/>
        </left>
        <right/>
        <top/>
        <bottom/>
        <vertical/>
        <horizontal/>
      </border>
    </dxf>
    <dxf>
      <alignment horizontal="left" textRotation="0" wrapText="0" indent="0" justifyLastLine="0" shrinkToFit="0" readingOrder="0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Frequency</a:t>
            </a:r>
            <a:r>
              <a:rPr lang="en-US" baseline="0"/>
              <a:t> for selling </a:t>
            </a:r>
            <a:r>
              <a:rPr lang="en-US"/>
              <a:t>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strRef>
              <c:f>'Sensitivity cases'!$I$4</c:f>
              <c:strCache>
                <c:ptCount val="1"/>
                <c:pt idx="0">
                  <c:v>Frequency price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'Sensitivity cases'!$G$5:$G$15</c:f>
              <c:numCache>
                <c:formatCode>0%</c:formatCode>
                <c:ptCount val="11"/>
                <c:pt idx="0">
                  <c:v>-0.05</c:v>
                </c:pt>
                <c:pt idx="1">
                  <c:v>-0.04</c:v>
                </c:pt>
                <c:pt idx="2">
                  <c:v>-0.03</c:v>
                </c:pt>
                <c:pt idx="3">
                  <c:v>-0.02</c:v>
                </c:pt>
                <c:pt idx="4">
                  <c:v>-0.01</c:v>
                </c:pt>
                <c:pt idx="5">
                  <c:v>0</c:v>
                </c:pt>
                <c:pt idx="6">
                  <c:v>0.01</c:v>
                </c:pt>
                <c:pt idx="7">
                  <c:v>0.02</c:v>
                </c:pt>
                <c:pt idx="8">
                  <c:v>0.03</c:v>
                </c:pt>
                <c:pt idx="9">
                  <c:v>0.04</c:v>
                </c:pt>
                <c:pt idx="10">
                  <c:v>0.05</c:v>
                </c:pt>
              </c:numCache>
            </c:numRef>
          </c:cat>
          <c:val>
            <c:numRef>
              <c:f>'Sensitivity cases'!$I$5:$I$15</c:f>
              <c:numCache>
                <c:formatCode>General</c:formatCode>
                <c:ptCount val="11"/>
                <c:pt idx="0">
                  <c:v>111</c:v>
                </c:pt>
                <c:pt idx="1">
                  <c:v>96</c:v>
                </c:pt>
                <c:pt idx="2">
                  <c:v>94</c:v>
                </c:pt>
                <c:pt idx="3">
                  <c:v>111</c:v>
                </c:pt>
                <c:pt idx="4">
                  <c:v>97</c:v>
                </c:pt>
                <c:pt idx="5">
                  <c:v>96</c:v>
                </c:pt>
                <c:pt idx="6">
                  <c:v>106</c:v>
                </c:pt>
                <c:pt idx="7">
                  <c:v>89</c:v>
                </c:pt>
                <c:pt idx="8">
                  <c:v>111</c:v>
                </c:pt>
                <c:pt idx="9">
                  <c:v>89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AE-485C-8C1F-8E017B20DDF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3398895"/>
        <c:axId val="1043390159"/>
      </c:barChart>
      <c:catAx>
        <c:axId val="1043398895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043390159"/>
        <c:crosses val="autoZero"/>
        <c:auto val="1"/>
        <c:lblAlgn val="ctr"/>
        <c:lblOffset val="100"/>
        <c:noMultiLvlLbl val="0"/>
      </c:catAx>
      <c:valAx>
        <c:axId val="10433901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043398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Frequency</a:t>
            </a:r>
            <a:r>
              <a:rPr lang="en-US" baseline="0"/>
              <a:t> for </a:t>
            </a:r>
            <a:r>
              <a:rPr lang="en-US"/>
              <a:t>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'Sensitivity cases'!$K$4</c:f>
              <c:strCache>
                <c:ptCount val="1"/>
                <c:pt idx="0">
                  <c:v>Frequency expenses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'Sensitivity cases'!$G$5:$G$15</c:f>
              <c:numCache>
                <c:formatCode>0%</c:formatCode>
                <c:ptCount val="11"/>
                <c:pt idx="0">
                  <c:v>-0.05</c:v>
                </c:pt>
                <c:pt idx="1">
                  <c:v>-0.04</c:v>
                </c:pt>
                <c:pt idx="2">
                  <c:v>-0.03</c:v>
                </c:pt>
                <c:pt idx="3">
                  <c:v>-0.02</c:v>
                </c:pt>
                <c:pt idx="4">
                  <c:v>-0.01</c:v>
                </c:pt>
                <c:pt idx="5">
                  <c:v>0</c:v>
                </c:pt>
                <c:pt idx="6">
                  <c:v>0.01</c:v>
                </c:pt>
                <c:pt idx="7">
                  <c:v>0.02</c:v>
                </c:pt>
                <c:pt idx="8">
                  <c:v>0.03</c:v>
                </c:pt>
                <c:pt idx="9">
                  <c:v>0.04</c:v>
                </c:pt>
                <c:pt idx="10">
                  <c:v>0.05</c:v>
                </c:pt>
              </c:numCache>
            </c:numRef>
          </c:cat>
          <c:val>
            <c:numRef>
              <c:f>'Sensitivity cases'!$K$5:$K$15</c:f>
              <c:numCache>
                <c:formatCode>General</c:formatCode>
                <c:ptCount val="11"/>
                <c:pt idx="0">
                  <c:v>107</c:v>
                </c:pt>
                <c:pt idx="1">
                  <c:v>101</c:v>
                </c:pt>
                <c:pt idx="2">
                  <c:v>110</c:v>
                </c:pt>
                <c:pt idx="3">
                  <c:v>87</c:v>
                </c:pt>
                <c:pt idx="4">
                  <c:v>105</c:v>
                </c:pt>
                <c:pt idx="5">
                  <c:v>91</c:v>
                </c:pt>
                <c:pt idx="6">
                  <c:v>105</c:v>
                </c:pt>
                <c:pt idx="7">
                  <c:v>100</c:v>
                </c:pt>
                <c:pt idx="8">
                  <c:v>89</c:v>
                </c:pt>
                <c:pt idx="9">
                  <c:v>105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7F-4C6E-914C-8CEAC14F03B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3398063"/>
        <c:axId val="1043400559"/>
      </c:barChart>
      <c:catAx>
        <c:axId val="1043398063"/>
        <c:scaling>
          <c:orientation val="minMax"/>
        </c:scaling>
        <c:delete val="0"/>
        <c:axPos val="b"/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043400559"/>
        <c:crosses val="autoZero"/>
        <c:auto val="1"/>
        <c:lblAlgn val="ctr"/>
        <c:lblOffset val="100"/>
        <c:noMultiLvlLbl val="0"/>
      </c:catAx>
      <c:valAx>
        <c:axId val="104340055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043398063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'[1]Market cap'!$B$19</c:f>
              <c:strCache>
                <c:ptCount val="1"/>
                <c:pt idx="0">
                  <c:v>Revenue per region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4CA-214D-90AC-66FC6129F5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4CA-214D-90AC-66FC6129F5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4CA-214D-90AC-66FC6129F5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4CA-214D-90AC-66FC6129F5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4CA-214D-90AC-66FC6129F5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4CA-214D-90AC-66FC6129F5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4CA-214D-90AC-66FC6129F5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4CA-214D-90AC-66FC6129F54D}"/>
              </c:ext>
            </c:extLst>
          </c:dPt>
          <c:cat>
            <c:strRef>
              <c:f>'[1]Market cap'!$A$20:$A$27</c:f>
              <c:strCache>
                <c:ptCount val="8"/>
                <c:pt idx="0">
                  <c:v>France </c:v>
                </c:pt>
                <c:pt idx="1">
                  <c:v>Belgium</c:v>
                </c:pt>
                <c:pt idx="2">
                  <c:v>Other EU</c:v>
                </c:pt>
                <c:pt idx="3">
                  <c:v>Other European countries</c:v>
                </c:pt>
                <c:pt idx="4">
                  <c:v>North America</c:v>
                </c:pt>
                <c:pt idx="5">
                  <c:v>Asia, Middle East &amp; Oceania</c:v>
                </c:pt>
                <c:pt idx="6">
                  <c:v>South America</c:v>
                </c:pt>
                <c:pt idx="7">
                  <c:v>Africa</c:v>
                </c:pt>
              </c:strCache>
            </c:strRef>
          </c:cat>
          <c:val>
            <c:numRef>
              <c:f>'[1]Market cap'!$B$20:$B$27</c:f>
              <c:numCache>
                <c:formatCode>General</c:formatCode>
                <c:ptCount val="8"/>
                <c:pt idx="0">
                  <c:v>24341</c:v>
                </c:pt>
                <c:pt idx="1">
                  <c:v>4352</c:v>
                </c:pt>
                <c:pt idx="2">
                  <c:v>12501</c:v>
                </c:pt>
                <c:pt idx="3">
                  <c:v>3110</c:v>
                </c:pt>
                <c:pt idx="4">
                  <c:v>4752</c:v>
                </c:pt>
                <c:pt idx="5">
                  <c:v>4441</c:v>
                </c:pt>
                <c:pt idx="6">
                  <c:v>4053</c:v>
                </c:pt>
                <c:pt idx="7">
                  <c:v>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4CA-214D-90AC-66FC6129F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24568</xdr:colOff>
      <xdr:row>15</xdr:row>
      <xdr:rowOff>185056</xdr:rowOff>
    </xdr:from>
    <xdr:to>
      <xdr:col>11</xdr:col>
      <xdr:colOff>0</xdr:colOff>
      <xdr:row>35</xdr:row>
      <xdr:rowOff>21770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B0A58D0-3AF2-E170-1A4E-92A67554AE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32658</xdr:colOff>
      <xdr:row>35</xdr:row>
      <xdr:rowOff>174172</xdr:rowOff>
    </xdr:from>
    <xdr:to>
      <xdr:col>11</xdr:col>
      <xdr:colOff>32658</xdr:colOff>
      <xdr:row>56</xdr:row>
      <xdr:rowOff>43542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B2317D-F1C9-615A-F33B-2DA7B5B27B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747</xdr:colOff>
      <xdr:row>9</xdr:row>
      <xdr:rowOff>26894</xdr:rowOff>
    </xdr:from>
    <xdr:to>
      <xdr:col>3</xdr:col>
      <xdr:colOff>959224</xdr:colOff>
      <xdr:row>27</xdr:row>
      <xdr:rowOff>10010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C03C8E1D-CF91-5C81-EFF4-95D6B9071A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nnl-my.sharepoint.com/personal/tkl_vo_student_han_nl/Documents/Cluster%20D/finance%204/project/Market%20share%20of%20company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ket cap"/>
    </sheetNames>
    <sheetDataSet>
      <sheetData sheetId="0">
        <row r="19">
          <cell r="B19" t="str">
            <v>Revenue per region</v>
          </cell>
        </row>
        <row r="20">
          <cell r="A20" t="str">
            <v xml:space="preserve">France </v>
          </cell>
          <cell r="B20">
            <v>24341</v>
          </cell>
        </row>
        <row r="21">
          <cell r="A21" t="str">
            <v>Belgium</v>
          </cell>
          <cell r="B21">
            <v>4352</v>
          </cell>
        </row>
        <row r="22">
          <cell r="A22" t="str">
            <v>Other EU</v>
          </cell>
          <cell r="B22">
            <v>12501</v>
          </cell>
        </row>
        <row r="23">
          <cell r="A23" t="str">
            <v>Other European countries</v>
          </cell>
          <cell r="B23">
            <v>3110</v>
          </cell>
        </row>
        <row r="24">
          <cell r="A24" t="str">
            <v>North America</v>
          </cell>
          <cell r="B24">
            <v>4752</v>
          </cell>
        </row>
        <row r="25">
          <cell r="A25" t="str">
            <v>Asia, Middle East &amp; Oceania</v>
          </cell>
          <cell r="B25">
            <v>4441</v>
          </cell>
        </row>
        <row r="26">
          <cell r="A26" t="str">
            <v>South America</v>
          </cell>
          <cell r="B26">
            <v>4053</v>
          </cell>
        </row>
        <row r="27">
          <cell r="A27" t="str">
            <v>Africa</v>
          </cell>
          <cell r="B27">
            <v>297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3A4C322-0D50-4F47-A73B-59715EFB74E8}" name="Table3" displayName="Table3" ref="A18:D30" totalsRowShown="0" headerRowDxfId="53" headerRowBorderDxfId="52" tableBorderDxfId="51">
  <autoFilter ref="A18:D30" xr:uid="{F3A4C322-0D50-4F47-A73B-59715EFB74E8}">
    <filterColumn colId="0" hiddenButton="1"/>
    <filterColumn colId="1" hiddenButton="1"/>
    <filterColumn colId="2" hiddenButton="1"/>
    <filterColumn colId="3" hiddenButton="1"/>
  </autoFilter>
  <tableColumns count="4">
    <tableColumn id="1" xr3:uid="{635F21D2-4899-40A1-B9CC-76FAB0A6F553}" name="Capex items" dataDxfId="50"/>
    <tableColumn id="4" xr3:uid="{6D47DAED-CE7B-4593-AB48-6EE4C7AD47BE}" name="Estimated price in m€"/>
    <tableColumn id="5" xr3:uid="{599F0AD0-D99D-4F62-AD67-9CCDF8989440}" name="Unit"/>
    <tableColumn id="7" xr3:uid="{CF183166-0030-46DF-AFEC-854A4A43E92D}" name="Other assumpions" dataDxfId="49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CF8DC0-E062-43D0-972A-9F80B6015D3A}" name="Table1" displayName="Table1" ref="A4:E14" totalsRowCount="1" dataDxfId="47" headerRowBorderDxfId="48" tableBorderDxfId="46">
  <autoFilter ref="A4:E13" xr:uid="{75CF8DC0-E062-43D0-972A-9F80B6015D3A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4E6A577-7C58-44F0-96FE-C92C2BE9179A}" name="Back office and asset management" totalsRowLabel="Total" dataDxfId="45" totalsRowDxfId="44"/>
    <tableColumn id="2" xr3:uid="{B8BF6430-C8D0-489E-A24E-281342E9651E}" name="Average salary in Azerbaijan py(AZN)" totalsRowFunction="sum" dataDxfId="43" totalsRowDxfId="42"/>
    <tableColumn id="4" xr3:uid="{94F9060C-7F3E-43E9-B4A2-056EFC4C141B}" name="Number of employees" totalsRowFunction="custom" dataDxfId="41" totalsRowDxfId="40">
      <totalsRowFormula>SUM(Table1[Number of employees])</totalsRowFormula>
    </tableColumn>
    <tableColumn id="5" xr3:uid="{2822C299-56B1-914A-8735-CC5A986361B4}" name="Total cost per year(AZN)" totalsRowFunction="custom" dataDxfId="39" totalsRowDxfId="38">
      <calculatedColumnFormula>Table1[[#This Row],[Average salary in Azerbaijan py(AZN)]]*Table1[[#This Row],[Number of employees]]</calculatedColumnFormula>
      <totalsRowFormula>SUM(Table1[Total cost per year(AZN)])</totalsRowFormula>
    </tableColumn>
    <tableColumn id="3" xr3:uid="{9AE4C9F5-D1D6-45A2-B091-1D9570B11414}" name="Sources" dataDxfId="37" totalsRowDxfId="36" dataCellStyle="Hyperlink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CDB9A6-6F96-4DEC-88A7-93444114BC60}" name="Table2" displayName="Table2" ref="G4:K19" totalsRowCount="1" dataDxfId="34" headerRowBorderDxfId="35" tableBorderDxfId="33">
  <autoFilter ref="G4:K18" xr:uid="{2ECDB9A6-6F96-4DEC-88A7-93444114BC6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53F2D2F-63B4-40EA-86D3-358D3699EFF3}" name="Site Operations" totalsRowLabel="Total" dataDxfId="32" totalsRowDxfId="31"/>
    <tableColumn id="2" xr3:uid="{B3B838ED-A504-4258-8E13-220C8C768C25}" name="Average salary in Azerbaijan py(AZN)" totalsRowFunction="sum" dataDxfId="30" totalsRowDxfId="29"/>
    <tableColumn id="4" xr3:uid="{E38458B9-ABBF-4548-ABDF-A64E1B8FA76F}" name="Number of employees" totalsRowFunction="custom" dataDxfId="28" totalsRowDxfId="27">
      <totalsRowFormula>SUM(Table2[Number of employees])</totalsRowFormula>
    </tableColumn>
    <tableColumn id="5" xr3:uid="{CD50E8E2-D042-9748-9E39-CD57ACE6CA4E}" name="Total cost per year(AZN)" totalsRowFunction="custom" dataDxfId="26" totalsRowDxfId="25">
      <calculatedColumnFormula>Table2[[#This Row],[Average salary in Azerbaijan py(AZN)]]*Table2[[#This Row],[Number of employees]]</calculatedColumnFormula>
      <totalsRowFormula>SUM(Table2[Total cost per year(AZN)])</totalsRowFormula>
    </tableColumn>
    <tableColumn id="3" xr3:uid="{09EEFD97-DF61-4450-A0C6-EED7E201242F}" name="Sources" dataDxfId="24" totalsRowDxfId="23" dataCellStyle="Hyperlink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EF16946-81D6-43FC-BC7A-6B6DAC172778}" name="rent_utility_fee" displayName="rent_utility_fee" ref="M4:S9" totalsRowCount="1">
  <autoFilter ref="M4:S8" xr:uid="{AEF16946-81D6-43FC-BC7A-6B6DAC17277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39552D3E-1EA4-428B-AC0A-50BC1E8C290A}" name="Logistics/operational base" totalsRowLabel="Total"/>
    <tableColumn id="2" xr3:uid="{2D150063-17F2-431D-9AA7-59E2BA32CE5D}" name="Size m2"/>
    <tableColumn id="3" xr3:uid="{E00B1F24-80C3-4A83-A7C1-37C401BAF0F8}" name="Avgerage Cost per month AZN" dataDxfId="22"/>
    <tableColumn id="4" xr3:uid="{F1C0DB90-B67F-4D74-913B-6128DB6C510D}" name="Average cost per year AZN" totalsRowFunction="sum" dataDxfId="21">
      <calculatedColumnFormula>O5*12</calculatedColumnFormula>
    </tableColumn>
    <tableColumn id="5" xr3:uid="{37ADE8EE-F848-48D9-A42A-5B6A30E172D6}" name="Energy consumption py(KWh)">
      <calculatedColumnFormula>N5*Energy_consumption_kWh_sqm_warehouse</calculatedColumnFormula>
    </tableColumn>
    <tableColumn id="6" xr3:uid="{7740B14C-FA57-408D-88B2-F6326EFE1F56}" name="Energy cost py" totalsRowFunction="sum" dataDxfId="20">
      <calculatedColumnFormula>Q5*Cost_for_business_per_kWh</calculatedColumnFormula>
    </tableColumn>
    <tableColumn id="7" xr3:uid="{8F573362-A78B-42CB-AA92-BFB24316E796}" name="Sources" dataDxfId="19" totalsRowDxfId="18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FE1193A-60AE-D942-B8F9-B0EE34C5C369}" name="Table4" displayName="Table4" ref="A5:D8" totalsRowShown="0" dataDxfId="14" headerRowBorderDxfId="15" tableBorderDxfId="13">
  <autoFilter ref="A5:D8" xr:uid="{4FE1193A-60AE-D942-B8F9-B0EE34C5C369}">
    <filterColumn colId="0" hiddenButton="1"/>
    <filterColumn colId="1" hiddenButton="1"/>
    <filterColumn colId="2" hiddenButton="1"/>
    <filterColumn colId="3" hiddenButton="1"/>
  </autoFilter>
  <tableColumns count="4">
    <tableColumn id="1" xr3:uid="{AE25EBF0-1728-C549-B707-390800D471AF}" name="Energy industry " dataDxfId="12"/>
    <tableColumn id="2" xr3:uid="{4792D893-3A22-B440-975B-868AB966CBEF}" name="Revenue" dataDxfId="11"/>
    <tableColumn id="3" xr3:uid="{BF960A70-079B-384C-BC36-3D7A72113FB5}" name="Electricity industry " dataDxfId="10"/>
    <tableColumn id="4" xr3:uid="{900BC8DA-18E3-8D4E-9491-AD2F4A17DE68}" name="Revenue2" dataDxfId="9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67FF2BB-0C02-944A-BDE8-216163F5653F}" name="Table6" displayName="Table6" ref="F5:G8" totalsRowShown="0" headerRowBorderDxfId="8" tableBorderDxfId="7">
  <autoFilter ref="F5:G8" xr:uid="{F67FF2BB-0C02-944A-BDE8-216163F5653F}">
    <filterColumn colId="0" hiddenButton="1"/>
    <filterColumn colId="1" hiddenButton="1"/>
  </autoFilter>
  <tableColumns count="2">
    <tableColumn id="1" xr3:uid="{265C90DE-59F6-1948-88F9-DD85BF28B552}" name="Revenue in renewables" dataDxfId="6"/>
    <tableColumn id="2" xr3:uid="{0C6C30C7-CBCB-5C41-847D-41C0460F7EF2}" name="Revenue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A9B73B9-D536-514F-9459-EEA18840619F}" name="Table7" displayName="Table7" ref="I4:K14" totalsRowShown="0" headerRowDxfId="5" headerRowBorderDxfId="4" tableBorderDxfId="3">
  <autoFilter ref="I4:K14" xr:uid="{AA9B73B9-D536-514F-9459-EEA18840619F}">
    <filterColumn colId="0" hiddenButton="1"/>
    <filterColumn colId="1" hiddenButton="1"/>
    <filterColumn colId="2" hiddenButton="1"/>
  </autoFilter>
  <tableColumns count="3">
    <tableColumn id="1" xr3:uid="{9E00CF68-20F2-E048-AC0E-19C456F8B591}" name="Countries" dataDxfId="2"/>
    <tableColumn id="2" xr3:uid="{2CA223EF-D086-B344-8596-336F61DBD539}" name="Revenue per region" dataDxfId="1"/>
    <tableColumn id="3" xr3:uid="{69F45E9B-532E-E347-954E-501E841BB0A9}" name="% of total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tatista.com/statistics/457512/inflation-rate-in-azerbaijan/" TargetMode="External"/><Relationship Id="rId2" Type="http://schemas.openxmlformats.org/officeDocument/2006/relationships/hyperlink" Target="https://en.trend.az/business/3645265.html" TargetMode="External"/><Relationship Id="rId1" Type="http://schemas.openxmlformats.org/officeDocument/2006/relationships/hyperlink" Target="https://assets.ey.com/content/dam/ey-sites/ey-com/en_az/home/banners/ey-doing-business-in-azerbaijan-2022.pdf" TargetMode="External"/><Relationship Id="rId5" Type="http://schemas.openxmlformats.org/officeDocument/2006/relationships/hyperlink" Target="https://www.cbar.az/currency/rates" TargetMode="External"/><Relationship Id="rId4" Type="http://schemas.openxmlformats.org/officeDocument/2006/relationships/hyperlink" Target="https://ec.europa.eu/eurostat/statistics-explained/index.php?title=Inflation_in_the_euro_are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eatherguardwind.com/how-much-does-wind-turbine-cost-worth-it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lassdoor.nl/Salaries/baku-administrative-assistant-salary-SRCH_IL.0,4_IM1230_KO5,29.htm?countryRedirect=true" TargetMode="External"/><Relationship Id="rId18" Type="http://schemas.openxmlformats.org/officeDocument/2006/relationships/hyperlink" Target="https://www.glassdoor.nl/Maandloon/BP-Subsea-Hardware-Engineer-Bakoe-Maandloon-EJI_IE9011.0,2_KO3,27_IL.28,33_IM1230.htm" TargetMode="External"/><Relationship Id="rId26" Type="http://schemas.openxmlformats.org/officeDocument/2006/relationships/hyperlink" Target="https://www.globalpetrolprices.com/Azerbaijan/electricity_prices/" TargetMode="External"/><Relationship Id="rId3" Type="http://schemas.openxmlformats.org/officeDocument/2006/relationships/hyperlink" Target="https://worldsalaries.com/" TargetMode="External"/><Relationship Id="rId21" Type="http://schemas.openxmlformats.org/officeDocument/2006/relationships/hyperlink" Target="https://www.salaryexplorer.com/salary-survey.php?loc=15&amp;loctype=1&amp;job=10142&amp;jobtype=3" TargetMode="External"/><Relationship Id="rId34" Type="http://schemas.openxmlformats.org/officeDocument/2006/relationships/table" Target="../tables/table4.xml"/><Relationship Id="rId7" Type="http://schemas.openxmlformats.org/officeDocument/2006/relationships/hyperlink" Target="https://worldsalaries.com/" TargetMode="External"/><Relationship Id="rId12" Type="http://schemas.openxmlformats.org/officeDocument/2006/relationships/hyperlink" Target="https://www.glassdoor.nl/Salaries/baku-hr-manager-salary-SRCH_IL.0,4_IM1230_KO5,15.htm?countryRedirect=true" TargetMode="External"/><Relationship Id="rId17" Type="http://schemas.openxmlformats.org/officeDocument/2006/relationships/hyperlink" Target="https://worldsalaries.com/" TargetMode="External"/><Relationship Id="rId25" Type="http://schemas.openxmlformats.org/officeDocument/2006/relationships/hyperlink" Target="https://clevair.io/blog/energy-benchmarking-buildings/" TargetMode="External"/><Relationship Id="rId33" Type="http://schemas.openxmlformats.org/officeDocument/2006/relationships/table" Target="../tables/table3.xml"/><Relationship Id="rId2" Type="http://schemas.openxmlformats.org/officeDocument/2006/relationships/hyperlink" Target="https://worldsalaries.com/" TargetMode="External"/><Relationship Id="rId16" Type="http://schemas.openxmlformats.org/officeDocument/2006/relationships/hyperlink" Target="https://www.salaryexplorer.com/salary-survey.php?loc=15&amp;loctype=1&amp;job=641&amp;jobtype=3" TargetMode="External"/><Relationship Id="rId20" Type="http://schemas.openxmlformats.org/officeDocument/2006/relationships/hyperlink" Target="https://www.salaryexplorer.com/salary-survey.php?loc=15&amp;loctype=1&amp;job=259&amp;jobtype=3" TargetMode="External"/><Relationship Id="rId29" Type="http://schemas.openxmlformats.org/officeDocument/2006/relationships/hyperlink" Target="http://azeremlak.com/" TargetMode="External"/><Relationship Id="rId1" Type="http://schemas.openxmlformats.org/officeDocument/2006/relationships/hyperlink" Target="https://worldsalaries.com/" TargetMode="External"/><Relationship Id="rId6" Type="http://schemas.openxmlformats.org/officeDocument/2006/relationships/hyperlink" Target="https://worldsalaries.com/" TargetMode="External"/><Relationship Id="rId11" Type="http://schemas.openxmlformats.org/officeDocument/2006/relationships/hyperlink" Target="https://worldsalaries.com/" TargetMode="External"/><Relationship Id="rId24" Type="http://schemas.openxmlformats.org/officeDocument/2006/relationships/hyperlink" Target="https://esource.bizenergyadvisor.com/article/warehouses" TargetMode="External"/><Relationship Id="rId32" Type="http://schemas.openxmlformats.org/officeDocument/2006/relationships/table" Target="../tables/table2.xml"/><Relationship Id="rId5" Type="http://schemas.openxmlformats.org/officeDocument/2006/relationships/hyperlink" Target="https://rollthepay.com/Azerbaijan/procurement-specialist-salary/" TargetMode="External"/><Relationship Id="rId15" Type="http://schemas.openxmlformats.org/officeDocument/2006/relationships/hyperlink" Target="https://www.salaryexplorer.com/salary-survey.php?loc=15&amp;loctype=1&amp;job=12730&amp;jobtype=3" TargetMode="External"/><Relationship Id="rId23" Type="http://schemas.openxmlformats.org/officeDocument/2006/relationships/hyperlink" Target="https://www.salaryexplorer.com/salary-survey.php?loc=15&amp;loctype=1&amp;job=245&amp;jobtype=3" TargetMode="External"/><Relationship Id="rId28" Type="http://schemas.openxmlformats.org/officeDocument/2006/relationships/hyperlink" Target="http://azeremlak.com/" TargetMode="External"/><Relationship Id="rId10" Type="http://schemas.openxmlformats.org/officeDocument/2006/relationships/hyperlink" Target="https://worldsalaries.com/" TargetMode="External"/><Relationship Id="rId19" Type="http://schemas.openxmlformats.org/officeDocument/2006/relationships/hyperlink" Target="http://salaryexplorer.com/" TargetMode="External"/><Relationship Id="rId31" Type="http://schemas.openxmlformats.org/officeDocument/2006/relationships/printerSettings" Target="../printerSettings/printerSettings2.bin"/><Relationship Id="rId4" Type="http://schemas.openxmlformats.org/officeDocument/2006/relationships/hyperlink" Target="https://worldsalaries.com/" TargetMode="External"/><Relationship Id="rId9" Type="http://schemas.openxmlformats.org/officeDocument/2006/relationships/hyperlink" Target="https://www.paylab.com/az/salaryinfo/electrical-power-engineering?lang=en" TargetMode="External"/><Relationship Id="rId14" Type="http://schemas.openxmlformats.org/officeDocument/2006/relationships/hyperlink" Target="https://www.glassdoor.nl/Salaries/baku-technician-salary-SRCH_IL.0,4_IC3583897_KO5,15.htm?countryRedirect=true" TargetMode="External"/><Relationship Id="rId22" Type="http://schemas.openxmlformats.org/officeDocument/2006/relationships/hyperlink" Target="https://www.salaryexplorer.com/salary-survey.php?loc=15&amp;loctype=1&amp;job=10142&amp;jobtype=3" TargetMode="External"/><Relationship Id="rId27" Type="http://schemas.openxmlformats.org/officeDocument/2006/relationships/hyperlink" Target="https://www.instantoffices.com/en/az" TargetMode="External"/><Relationship Id="rId30" Type="http://schemas.openxmlformats.org/officeDocument/2006/relationships/hyperlink" Target="http://azeremlak.com/" TargetMode="External"/><Relationship Id="rId8" Type="http://schemas.openxmlformats.org/officeDocument/2006/relationships/hyperlink" Target="https://worldsalaries.com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wc.fr/en/services/transaction/evaluation/valuation-corner/documentation.html" TargetMode="External"/><Relationship Id="rId7" Type="http://schemas.openxmlformats.org/officeDocument/2006/relationships/hyperlink" Target="https://finance.yahoo.com/quote/ENGI.PA?p=ENGI.PA" TargetMode="External"/><Relationship Id="rId2" Type="http://schemas.openxmlformats.org/officeDocument/2006/relationships/hyperlink" Target="https://finance.yahoo.com/quote/ENGI.PA/" TargetMode="External"/><Relationship Id="rId1" Type="http://schemas.openxmlformats.org/officeDocument/2006/relationships/hyperlink" Target="http://www.worldgovernmentbonds.com/bond-historical-data/france/10-years/" TargetMode="External"/><Relationship Id="rId6" Type="http://schemas.openxmlformats.org/officeDocument/2006/relationships/hyperlink" Target="https://finance.yahoo.com/quote/ENGI.PA?p=ENGI.PA" TargetMode="External"/><Relationship Id="rId5" Type="http://schemas.openxmlformats.org/officeDocument/2006/relationships/hyperlink" Target="https://assets.kpmg/content/dam/kpmg/xx/pdf/2020/10/france-country-profile-2020.pdf" TargetMode="External"/><Relationship Id="rId4" Type="http://schemas.openxmlformats.org/officeDocument/2006/relationships/hyperlink" Target="https://finance.yahoo.com/quote/ENGI.PA?p=ENGI.PA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hyperlink" Target="https://www.globenewswire.com/en/news-release/2022/04/20/2425276/0/en/Renewable-Energy-Market-Size-to-Worth-Around-US-1-998-03-Bn-by-2030.html" TargetMode="External"/><Relationship Id="rId7" Type="http://schemas.openxmlformats.org/officeDocument/2006/relationships/table" Target="../tables/table6.xml"/><Relationship Id="rId2" Type="http://schemas.openxmlformats.org/officeDocument/2006/relationships/hyperlink" Target="https://www.engie.com/sites/default/files/assets/documents/2022-02/ENGIE_2021%20Management%20report%20and%20annual%20consolidated%20financial%20statements.pdf" TargetMode="External"/><Relationship Id="rId1" Type="http://schemas.openxmlformats.org/officeDocument/2006/relationships/hyperlink" Target="https://companiesmarketcap.com/electricity/largest-electricity-companies-by-market-cap/" TargetMode="External"/><Relationship Id="rId6" Type="http://schemas.openxmlformats.org/officeDocument/2006/relationships/table" Target="../tables/table5.xml"/><Relationship Id="rId5" Type="http://schemas.openxmlformats.org/officeDocument/2006/relationships/drawing" Target="../drawings/drawing2.xml"/><Relationship Id="rId4" Type="http://schemas.openxmlformats.org/officeDocument/2006/relationships/hyperlink" Target="https://www.engie.com/sites/default/files/assets/documents/2022-02/ENGIE_2021%20Management%20report%20and%20annual%20consolidated%20financial%20statement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98614-4EDC-4272-AF4F-E76D34A143B1}">
  <dimension ref="A1:L43"/>
  <sheetViews>
    <sheetView showGridLines="0" zoomScale="70" zoomScaleNormal="70" workbookViewId="0">
      <selection activeCell="E10" sqref="E10"/>
    </sheetView>
  </sheetViews>
  <sheetFormatPr defaultColWidth="8.6640625" defaultRowHeight="14.4" x14ac:dyDescent="0.3"/>
  <cols>
    <col min="1" max="1" width="38.33203125" bestFit="1" customWidth="1"/>
    <col min="2" max="2" width="17.33203125" bestFit="1" customWidth="1"/>
    <col min="3" max="3" width="17.77734375" bestFit="1" customWidth="1"/>
    <col min="4" max="4" width="26.6640625" bestFit="1" customWidth="1"/>
    <col min="5" max="11" width="20" bestFit="1" customWidth="1"/>
    <col min="12" max="12" width="21.6640625" bestFit="1" customWidth="1"/>
  </cols>
  <sheetData>
    <row r="1" spans="1:12" ht="17.399999999999999" x14ac:dyDescent="0.3">
      <c r="A1" s="2" t="s">
        <v>0</v>
      </c>
      <c r="B1" s="2"/>
      <c r="C1" s="3"/>
      <c r="D1" s="3"/>
      <c r="E1" s="3"/>
      <c r="F1" s="3"/>
      <c r="G1" s="1"/>
      <c r="H1" s="3"/>
      <c r="I1" s="3"/>
      <c r="J1" s="3"/>
      <c r="K1" s="3"/>
      <c r="L1" s="3"/>
    </row>
    <row r="2" spans="1:12" x14ac:dyDescent="0.3">
      <c r="A2" s="5" t="s">
        <v>1</v>
      </c>
      <c r="B2" s="5"/>
      <c r="C2" s="17"/>
      <c r="D2" s="3"/>
      <c r="E2" s="3"/>
      <c r="F2" s="3"/>
      <c r="G2" s="3"/>
      <c r="H2" s="3"/>
      <c r="I2" s="3"/>
      <c r="J2" s="3"/>
      <c r="K2" s="3"/>
      <c r="L2" s="3"/>
    </row>
    <row r="3" spans="1:12" x14ac:dyDescent="0.3">
      <c r="A3" s="3" t="s">
        <v>2</v>
      </c>
      <c r="B3" s="3"/>
      <c r="C3" s="6"/>
      <c r="D3" s="6"/>
      <c r="E3" s="6"/>
      <c r="F3" s="6"/>
      <c r="G3" s="6"/>
      <c r="H3" s="3"/>
      <c r="I3" s="3"/>
      <c r="J3" s="3"/>
      <c r="K3" s="3"/>
      <c r="L3" s="3"/>
    </row>
    <row r="4" spans="1:12" x14ac:dyDescent="0.3">
      <c r="A4" s="3"/>
      <c r="B4" s="7" cm="1">
        <f t="array" ref="B4:L4">_xlfn.SEQUENCE(1,11,0)</f>
        <v>0</v>
      </c>
      <c r="C4" s="7">
        <v>1</v>
      </c>
      <c r="D4" s="7">
        <v>2</v>
      </c>
      <c r="E4" s="7">
        <v>3</v>
      </c>
      <c r="F4" s="7">
        <v>4</v>
      </c>
      <c r="G4" s="7">
        <v>5</v>
      </c>
      <c r="H4" s="7">
        <v>6</v>
      </c>
      <c r="I4" s="7">
        <v>7</v>
      </c>
      <c r="J4" s="7">
        <v>8</v>
      </c>
      <c r="K4" s="7">
        <v>9</v>
      </c>
      <c r="L4" s="7">
        <v>10</v>
      </c>
    </row>
    <row r="5" spans="1:12" x14ac:dyDescent="0.3">
      <c r="A5" s="4" t="s">
        <v>4</v>
      </c>
      <c r="B5" s="37">
        <f t="array" ref="B5:L5">Net_income</f>
        <v>0</v>
      </c>
      <c r="C5" s="44">
        <f ca="1"/>
        <v>316334.71744000015</v>
      </c>
      <c r="D5" s="44">
        <f ca="1"/>
        <v>329576.31744000019</v>
      </c>
      <c r="E5" s="44">
        <f ca="1"/>
        <v>331382.71744000015</v>
      </c>
      <c r="F5" s="44">
        <f ca="1"/>
        <v>323774.71744000015</v>
      </c>
      <c r="G5" s="44">
        <f ca="1"/>
        <v>328285.91744000016</v>
      </c>
      <c r="H5" s="44">
        <f ca="1"/>
        <v>321177.11744000018</v>
      </c>
      <c r="I5" s="44">
        <f ca="1"/>
        <v>322885.11744000018</v>
      </c>
      <c r="J5" s="44">
        <f ca="1"/>
        <v>320431.5174400002</v>
      </c>
      <c r="K5" s="44">
        <f ca="1"/>
        <v>331956.31744000019</v>
      </c>
      <c r="L5" s="44">
        <f ca="1"/>
        <v>321289.91744000016</v>
      </c>
    </row>
    <row r="6" spans="1:12" x14ac:dyDescent="0.3">
      <c r="A6" s="16" t="s">
        <v>5</v>
      </c>
      <c r="B6" s="37">
        <f t="array" ref="B6:L6">depreciation</f>
        <v>0</v>
      </c>
      <c r="C6" s="44">
        <v>3229610.8032</v>
      </c>
      <c r="D6" s="44">
        <v>3229610.8032</v>
      </c>
      <c r="E6" s="44">
        <v>3229610.8032</v>
      </c>
      <c r="F6" s="44">
        <v>3229610.8032</v>
      </c>
      <c r="G6" s="44">
        <v>3229610.8032</v>
      </c>
      <c r="H6" s="44">
        <v>3229610.8032</v>
      </c>
      <c r="I6" s="44">
        <v>3229610.8032</v>
      </c>
      <c r="J6" s="44">
        <v>3229610.8032</v>
      </c>
      <c r="K6" s="44">
        <v>3229610.8032</v>
      </c>
      <c r="L6" s="44">
        <v>3229610.8032</v>
      </c>
    </row>
    <row r="7" spans="1:12" x14ac:dyDescent="0.3">
      <c r="A7" s="10" t="s">
        <v>6</v>
      </c>
      <c r="B7" s="47">
        <f>SUM(B5:B6)</f>
        <v>0</v>
      </c>
      <c r="C7" s="47">
        <f ca="1">SUM(C5:C6)</f>
        <v>3545945.5206400002</v>
      </c>
      <c r="D7" s="47">
        <f t="shared" ref="D7:L7" ca="1" si="0">SUM(D5:D6)</f>
        <v>3559187.1206400003</v>
      </c>
      <c r="E7" s="47">
        <f t="shared" ca="1" si="0"/>
        <v>3560993.5206400002</v>
      </c>
      <c r="F7" s="47">
        <f t="shared" ca="1" si="0"/>
        <v>3553385.5206400002</v>
      </c>
      <c r="G7" s="47">
        <f t="shared" ca="1" si="0"/>
        <v>3557896.72064</v>
      </c>
      <c r="H7" s="47">
        <f t="shared" ca="1" si="0"/>
        <v>3550787.9206400001</v>
      </c>
      <c r="I7" s="47">
        <f t="shared" ca="1" si="0"/>
        <v>3552495.9206400001</v>
      </c>
      <c r="J7" s="47">
        <f t="shared" ca="1" si="0"/>
        <v>3550042.32064</v>
      </c>
      <c r="K7" s="47">
        <f t="shared" ca="1" si="0"/>
        <v>3561567.1206400003</v>
      </c>
      <c r="L7" s="47">
        <f t="shared" ca="1" si="0"/>
        <v>3550900.72064</v>
      </c>
    </row>
    <row r="8" spans="1:12" x14ac:dyDescent="0.3">
      <c r="A8" s="20" t="s">
        <v>7</v>
      </c>
      <c r="B8" s="49">
        <f>-capital_expenditure</f>
        <v>-80740270.079999998</v>
      </c>
      <c r="C8" s="50"/>
      <c r="D8" s="50"/>
      <c r="E8" s="50"/>
      <c r="F8" s="50"/>
      <c r="G8" s="50"/>
      <c r="H8" s="50"/>
      <c r="I8" s="50"/>
      <c r="J8" s="50"/>
      <c r="K8" s="50"/>
      <c r="L8" s="50">
        <f>ending_value</f>
        <v>48444162.047999978</v>
      </c>
    </row>
    <row r="9" spans="1:12" x14ac:dyDescent="0.3">
      <c r="A9" s="20" t="s">
        <v>3</v>
      </c>
      <c r="B9" s="49"/>
      <c r="C9" s="50"/>
      <c r="D9" s="50"/>
      <c r="E9" s="50"/>
      <c r="F9" s="50"/>
      <c r="G9" s="50"/>
      <c r="H9" s="50"/>
      <c r="I9" s="50"/>
      <c r="J9" s="50"/>
      <c r="K9" s="50"/>
      <c r="L9" s="98">
        <f ca="1">(L7*(1+perpetuity_growth_rate))/(WACC-perpetuity_growth_rate)</f>
        <v>109973848.30908358</v>
      </c>
    </row>
    <row r="10" spans="1:12" x14ac:dyDescent="0.3">
      <c r="A10" s="13" t="s">
        <v>8</v>
      </c>
      <c r="B10" s="51">
        <f>SUM(B7:B8)</f>
        <v>-80740270.079999998</v>
      </c>
      <c r="C10" s="51">
        <f t="shared" ref="C10:K10" ca="1" si="1">SUM(C7:C8)</f>
        <v>3545945.5206400002</v>
      </c>
      <c r="D10" s="51">
        <f ca="1">SUM(D7:D8)</f>
        <v>3559187.1206400003</v>
      </c>
      <c r="E10" s="51">
        <f t="shared" ca="1" si="1"/>
        <v>3560993.5206400002</v>
      </c>
      <c r="F10" s="51">
        <f t="shared" ca="1" si="1"/>
        <v>3553385.5206400002</v>
      </c>
      <c r="G10" s="51">
        <f t="shared" ca="1" si="1"/>
        <v>3557896.72064</v>
      </c>
      <c r="H10" s="51">
        <f t="shared" ca="1" si="1"/>
        <v>3550787.9206400001</v>
      </c>
      <c r="I10" s="51">
        <f t="shared" ca="1" si="1"/>
        <v>3552495.9206400001</v>
      </c>
      <c r="J10" s="51">
        <f t="shared" ca="1" si="1"/>
        <v>3550042.32064</v>
      </c>
      <c r="K10" s="51">
        <f t="shared" ca="1" si="1"/>
        <v>3561567.1206400003</v>
      </c>
      <c r="L10" s="51">
        <f ca="1">SUM(L7:L9)</f>
        <v>161968911.07772356</v>
      </c>
    </row>
    <row r="11" spans="1:12" x14ac:dyDescent="0.3">
      <c r="A11" s="1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x14ac:dyDescent="0.3">
      <c r="A12" s="13" t="s">
        <v>9</v>
      </c>
      <c r="B12" s="26">
        <f>B13</f>
        <v>1.6384000000000001</v>
      </c>
      <c r="C12" s="26">
        <f t="shared" ref="C12:L12" si="2">B12*(1+(inflation_rate_Azerbaijan-inflation_rate_Eurozone))</f>
        <v>1.6908288</v>
      </c>
      <c r="D12" s="26">
        <f>C12*(1+(inflation_rate_Azerbaijan-inflation_rate_Eurozone))</f>
        <v>1.7449353216000001</v>
      </c>
      <c r="E12" s="26">
        <f t="shared" si="2"/>
        <v>1.8007732518912001</v>
      </c>
      <c r="F12" s="26">
        <f t="shared" si="2"/>
        <v>1.8583979959517185</v>
      </c>
      <c r="G12" s="26">
        <f t="shared" si="2"/>
        <v>1.9178667318221736</v>
      </c>
      <c r="H12" s="26">
        <f t="shared" si="2"/>
        <v>1.9792384672404832</v>
      </c>
      <c r="I12" s="26">
        <f t="shared" si="2"/>
        <v>2.0425740981921789</v>
      </c>
      <c r="J12" s="26">
        <f t="shared" si="2"/>
        <v>2.1079364693343288</v>
      </c>
      <c r="K12" s="26">
        <f t="shared" si="2"/>
        <v>2.1753904363530272</v>
      </c>
      <c r="L12" s="26">
        <f t="shared" si="2"/>
        <v>2.2450029303163239</v>
      </c>
    </row>
    <row r="13" spans="1:12" x14ac:dyDescent="0.3">
      <c r="A13" s="13" t="s">
        <v>10</v>
      </c>
      <c r="B13" s="42">
        <f>1.6384</f>
        <v>1.6384000000000001</v>
      </c>
      <c r="C13" t="s">
        <v>11</v>
      </c>
      <c r="H13" s="26"/>
      <c r="I13" s="26"/>
      <c r="J13" s="26"/>
      <c r="K13" s="26"/>
      <c r="L13" s="26"/>
    </row>
    <row r="14" spans="1:12" x14ac:dyDescent="0.3">
      <c r="A14" s="13" t="s">
        <v>12</v>
      </c>
      <c r="B14" s="25">
        <v>0.123</v>
      </c>
      <c r="H14" s="11"/>
      <c r="I14" s="11"/>
      <c r="J14" s="11"/>
      <c r="K14" s="11"/>
      <c r="L14" s="11"/>
    </row>
    <row r="15" spans="1:12" x14ac:dyDescent="0.3">
      <c r="A15" s="13" t="s">
        <v>13</v>
      </c>
      <c r="B15" s="25">
        <v>9.0999999999999998E-2</v>
      </c>
      <c r="C15" s="13"/>
      <c r="G15" s="25"/>
      <c r="H15" s="11"/>
      <c r="I15" s="11"/>
      <c r="J15" s="11"/>
      <c r="K15" s="11"/>
      <c r="L15" s="11"/>
    </row>
    <row r="16" spans="1:12" x14ac:dyDescent="0.3">
      <c r="A16" s="13" t="s">
        <v>14</v>
      </c>
      <c r="B16" s="25">
        <f>WACC</f>
        <v>6.0160384001912433E-2</v>
      </c>
      <c r="D16" s="13"/>
    </row>
    <row r="17" spans="1:10" x14ac:dyDescent="0.3">
      <c r="A17" s="13" t="s">
        <v>15</v>
      </c>
      <c r="B17" s="25">
        <f>B16+(inflation_rate_Azerbaijan-inflation_rate_Eurozone)</f>
        <v>9.2160384001912427E-2</v>
      </c>
      <c r="E17" s="26"/>
      <c r="F17" s="26"/>
      <c r="G17" s="26"/>
    </row>
    <row r="18" spans="1:10" x14ac:dyDescent="0.3">
      <c r="A18" s="8" t="s">
        <v>16</v>
      </c>
      <c r="B18" s="25">
        <f>2.7%</f>
        <v>2.7000000000000003E-2</v>
      </c>
      <c r="E18" s="26"/>
      <c r="F18" s="26"/>
      <c r="G18" s="26"/>
    </row>
    <row r="19" spans="1:10" x14ac:dyDescent="0.3">
      <c r="A19" s="13"/>
      <c r="B19" s="26"/>
      <c r="C19" s="26"/>
      <c r="D19" s="26"/>
      <c r="E19" s="11"/>
      <c r="F19" s="11"/>
      <c r="G19" s="11"/>
    </row>
    <row r="20" spans="1:10" x14ac:dyDescent="0.3">
      <c r="A20" s="13" t="s">
        <v>17</v>
      </c>
      <c r="B20" s="4">
        <f ca="1">NPV(B17,C10:L10)+B10</f>
        <v>7460203.5312830508</v>
      </c>
      <c r="C20" s="11"/>
      <c r="D20" s="11"/>
      <c r="E20" s="11"/>
      <c r="F20" s="11"/>
      <c r="G20" s="13"/>
    </row>
    <row r="21" spans="1:10" x14ac:dyDescent="0.3">
      <c r="A21" s="13" t="s">
        <v>18</v>
      </c>
      <c r="B21" s="41">
        <f ca="1">NPV_Manat/spot_exchange_rate</f>
        <v>4553346.8818866275</v>
      </c>
      <c r="C21" s="11"/>
      <c r="D21" s="11"/>
    </row>
    <row r="22" spans="1:10" x14ac:dyDescent="0.3">
      <c r="A22" s="13" t="s">
        <v>19</v>
      </c>
      <c r="B22" s="25">
        <f ca="1">IFERROR(IRR(B10:L10),"")</f>
        <v>0.10340763370242123</v>
      </c>
    </row>
    <row r="23" spans="1:10" x14ac:dyDescent="0.3">
      <c r="A23" s="13" t="s">
        <v>20</v>
      </c>
      <c r="F23" s="13" t="s">
        <v>21</v>
      </c>
    </row>
    <row r="24" spans="1:10" x14ac:dyDescent="0.3">
      <c r="B24" s="34" t="s">
        <v>22</v>
      </c>
      <c r="C24" s="34" t="s">
        <v>23</v>
      </c>
      <c r="D24" s="34" t="s">
        <v>24</v>
      </c>
      <c r="G24" s="34" t="s">
        <v>22</v>
      </c>
      <c r="H24" s="34" t="s">
        <v>23</v>
      </c>
      <c r="I24" s="34" t="s">
        <v>25</v>
      </c>
      <c r="J24" s="34" t="s">
        <v>26</v>
      </c>
    </row>
    <row r="25" spans="1:10" x14ac:dyDescent="0.3">
      <c r="B25" s="34">
        <v>0</v>
      </c>
      <c r="C25" s="97">
        <f t="array" ref="C25:C35">TRANSPOSE(B10:L10)</f>
        <v>-80740270.079999998</v>
      </c>
      <c r="D25" s="34"/>
      <c r="G25" s="34">
        <v>0</v>
      </c>
      <c r="H25" s="97" cm="1">
        <f t="array" aca="1" ref="H25:H35" ca="1">TRANSPOSE(B10:L10)</f>
        <v>-80740270.079999998</v>
      </c>
      <c r="I25" s="97">
        <f ca="1">-PV($B$17,G25,0,H25)</f>
        <v>-80740270.079999998</v>
      </c>
      <c r="J25" s="97">
        <f ca="1">I25</f>
        <v>-80740270.079999998</v>
      </c>
    </row>
    <row r="26" spans="1:10" x14ac:dyDescent="0.3">
      <c r="B26" s="34">
        <v>1</v>
      </c>
      <c r="C26" s="97">
        <f ca="1"/>
        <v>3545945.5206400002</v>
      </c>
      <c r="D26" s="97">
        <f ca="1">C26+C25</f>
        <v>-77194324.559359998</v>
      </c>
      <c r="G26" s="34">
        <v>1</v>
      </c>
      <c r="H26" s="97">
        <f ca="1"/>
        <v>3545945.5206400002</v>
      </c>
      <c r="I26" s="97">
        <f t="shared" ref="I26:I34" ca="1" si="3">-PV($B$17,G26,0,H26)</f>
        <v>3246726.0052474039</v>
      </c>
      <c r="J26" s="97">
        <f ca="1">J25+I26</f>
        <v>-77493544.074752599</v>
      </c>
    </row>
    <row r="27" spans="1:10" x14ac:dyDescent="0.3">
      <c r="B27" s="34">
        <v>2</v>
      </c>
      <c r="C27" s="97">
        <f ca="1"/>
        <v>3559187.1206400003</v>
      </c>
      <c r="D27" s="97">
        <f ca="1">C27+D26</f>
        <v>-73635137.438720003</v>
      </c>
      <c r="G27" s="34">
        <v>2</v>
      </c>
      <c r="H27" s="97">
        <f ca="1"/>
        <v>3559187.1206400003</v>
      </c>
      <c r="I27" s="97">
        <f t="shared" ca="1" si="3"/>
        <v>2983856.839711885</v>
      </c>
      <c r="J27" s="97">
        <f t="shared" ref="J27:J34" ca="1" si="4">J26+I27</f>
        <v>-74509687.235040709</v>
      </c>
    </row>
    <row r="28" spans="1:10" x14ac:dyDescent="0.3">
      <c r="B28" s="34">
        <v>3</v>
      </c>
      <c r="C28" s="97">
        <f ca="1"/>
        <v>3560993.5206400002</v>
      </c>
      <c r="D28" s="97">
        <f ca="1">C28+D27</f>
        <v>-70074143.918080002</v>
      </c>
      <c r="G28" s="34">
        <v>3</v>
      </c>
      <c r="H28" s="97">
        <f ca="1"/>
        <v>3560993.5206400002</v>
      </c>
      <c r="I28" s="97">
        <f t="shared" ca="1" si="3"/>
        <v>2733454.9807274342</v>
      </c>
      <c r="J28" s="97">
        <f t="shared" ca="1" si="4"/>
        <v>-71776232.254313275</v>
      </c>
    </row>
    <row r="29" spans="1:10" x14ac:dyDescent="0.3">
      <c r="B29" s="34">
        <v>4</v>
      </c>
      <c r="C29" s="97">
        <f ca="1"/>
        <v>3553385.5206400002</v>
      </c>
      <c r="D29" s="97">
        <f t="shared" ref="D29:D32" ca="1" si="5">C29+D28</f>
        <v>-66520758.397440001</v>
      </c>
      <c r="G29" s="34">
        <v>4</v>
      </c>
      <c r="H29" s="97">
        <f ca="1"/>
        <v>3553385.5206400002</v>
      </c>
      <c r="I29" s="97">
        <f t="shared" ca="1" si="3"/>
        <v>2497449.1312920293</v>
      </c>
      <c r="J29" s="97">
        <f t="shared" ca="1" si="4"/>
        <v>-69278783.123021245</v>
      </c>
    </row>
    <row r="30" spans="1:10" x14ac:dyDescent="0.3">
      <c r="B30" s="34">
        <v>5</v>
      </c>
      <c r="C30" s="97">
        <f ca="1"/>
        <v>3557896.72064</v>
      </c>
      <c r="D30" s="97">
        <f t="shared" ca="1" si="5"/>
        <v>-62962861.676799998</v>
      </c>
      <c r="G30" s="34">
        <v>5</v>
      </c>
      <c r="H30" s="97">
        <f ca="1"/>
        <v>3557896.72064</v>
      </c>
      <c r="I30" s="97">
        <f t="shared" ca="1" si="3"/>
        <v>2289608.5630397713</v>
      </c>
      <c r="J30" s="97">
        <f t="shared" ca="1" si="4"/>
        <v>-66989174.559981473</v>
      </c>
    </row>
    <row r="31" spans="1:10" x14ac:dyDescent="0.3">
      <c r="B31" s="34">
        <v>6</v>
      </c>
      <c r="C31" s="97">
        <f ca="1"/>
        <v>3550787.9206400001</v>
      </c>
      <c r="D31" s="97">
        <f t="shared" ca="1" si="5"/>
        <v>-59412073.756159998</v>
      </c>
      <c r="G31" s="34">
        <v>6</v>
      </c>
      <c r="H31" s="97">
        <f ca="1"/>
        <v>3550787.9206400001</v>
      </c>
      <c r="I31" s="97">
        <f t="shared" ca="1" si="3"/>
        <v>2092214.5500469762</v>
      </c>
      <c r="J31" s="97">
        <f t="shared" ca="1" si="4"/>
        <v>-64896960.0099345</v>
      </c>
    </row>
    <row r="32" spans="1:10" x14ac:dyDescent="0.3">
      <c r="B32" s="34">
        <v>7</v>
      </c>
      <c r="C32" s="97">
        <f ca="1"/>
        <v>3552495.9206400001</v>
      </c>
      <c r="D32" s="97">
        <f t="shared" ca="1" si="5"/>
        <v>-55859577.835519999</v>
      </c>
      <c r="G32" s="34">
        <v>7</v>
      </c>
      <c r="H32" s="97">
        <f ca="1"/>
        <v>3552495.9206400001</v>
      </c>
      <c r="I32" s="97">
        <f t="shared" ca="1" si="3"/>
        <v>1916587.5065130384</v>
      </c>
      <c r="J32" s="97">
        <f t="shared" ca="1" si="4"/>
        <v>-62980372.503421463</v>
      </c>
    </row>
    <row r="33" spans="1:10" x14ac:dyDescent="0.3">
      <c r="B33" s="34">
        <v>8</v>
      </c>
      <c r="C33" s="97">
        <f ca="1"/>
        <v>3550042.32064</v>
      </c>
      <c r="D33" s="97">
        <f ca="1">C33+D32</f>
        <v>-52309535.514880002</v>
      </c>
      <c r="G33" s="34">
        <v>8</v>
      </c>
      <c r="H33" s="97">
        <f ca="1"/>
        <v>3550042.32064</v>
      </c>
      <c r="I33" s="97">
        <f t="shared" ca="1" si="3"/>
        <v>1753646.9975900974</v>
      </c>
      <c r="J33" s="97">
        <f ca="1">J32+I33</f>
        <v>-61226725.505831368</v>
      </c>
    </row>
    <row r="34" spans="1:10" x14ac:dyDescent="0.3">
      <c r="B34" s="34">
        <v>9</v>
      </c>
      <c r="C34" s="97">
        <f ca="1"/>
        <v>3561567.1206400003</v>
      </c>
      <c r="D34" s="97">
        <f ca="1">C34+D33</f>
        <v>-48747968.394239999</v>
      </c>
      <c r="G34" s="34">
        <v>9</v>
      </c>
      <c r="H34" s="97">
        <f ca="1"/>
        <v>3561567.1206400003</v>
      </c>
      <c r="I34" s="97">
        <f t="shared" ca="1" si="3"/>
        <v>1610880.6312925771</v>
      </c>
      <c r="J34" s="97">
        <f t="shared" ca="1" si="4"/>
        <v>-59615844.874538794</v>
      </c>
    </row>
    <row r="35" spans="1:10" x14ac:dyDescent="0.3">
      <c r="B35" s="34">
        <v>10</v>
      </c>
      <c r="C35" s="97">
        <f ca="1"/>
        <v>161968911.07772356</v>
      </c>
      <c r="D35" s="97">
        <f ca="1">C35+D34</f>
        <v>113220942.68348357</v>
      </c>
      <c r="G35" s="34">
        <v>10</v>
      </c>
      <c r="H35" s="97">
        <f ca="1"/>
        <v>161968911.07772356</v>
      </c>
      <c r="I35" s="97">
        <f ca="1">-PV($B$17,G35,0,H35)</f>
        <v>67076048.405821852</v>
      </c>
      <c r="J35" s="97">
        <f ca="1">J34+I35</f>
        <v>7460203.5312830582</v>
      </c>
    </row>
    <row r="39" spans="1:10" x14ac:dyDescent="0.3">
      <c r="A39" s="22" t="s">
        <v>27</v>
      </c>
    </row>
    <row r="40" spans="1:10" x14ac:dyDescent="0.3">
      <c r="A40" s="22" t="s">
        <v>28</v>
      </c>
    </row>
    <row r="41" spans="1:10" x14ac:dyDescent="0.3">
      <c r="A41" s="22" t="s">
        <v>12</v>
      </c>
    </row>
    <row r="42" spans="1:10" x14ac:dyDescent="0.3">
      <c r="A42" s="22" t="s">
        <v>13</v>
      </c>
    </row>
    <row r="43" spans="1:10" x14ac:dyDescent="0.3">
      <c r="A43" s="22" t="s">
        <v>10</v>
      </c>
    </row>
  </sheetData>
  <sheetProtection algorithmName="SHA-512" hashValue="tXRZaqN6Uf+L0jY4fNt3VULRDVcfcCz3m2jWhEqueRazPrmc3CPHoEBAwylWkuA+0HbmeOrrEPbEY9odQhhVag==" saltValue="lFJBgLtFFHCha2QMpY1MUw==" spinCount="100000" sheet="1" objects="1" scenarios="1"/>
  <conditionalFormatting sqref="B5:L7">
    <cfRule type="cellIs" dxfId="60" priority="6" operator="lessThan">
      <formula>0</formula>
    </cfRule>
  </conditionalFormatting>
  <conditionalFormatting sqref="B7:L10">
    <cfRule type="cellIs" dxfId="59" priority="5" operator="lessThan">
      <formula>0</formula>
    </cfRule>
  </conditionalFormatting>
  <conditionalFormatting sqref="C25:C35">
    <cfRule type="cellIs" dxfId="58" priority="4" operator="lessThan">
      <formula>0</formula>
    </cfRule>
  </conditionalFormatting>
  <conditionalFormatting sqref="D26:D35">
    <cfRule type="cellIs" dxfId="57" priority="3" operator="lessThan">
      <formula>0</formula>
    </cfRule>
  </conditionalFormatting>
  <conditionalFormatting sqref="H25:I35">
    <cfRule type="cellIs" dxfId="56" priority="2" operator="lessThan">
      <formula>0</formula>
    </cfRule>
  </conditionalFormatting>
  <conditionalFormatting sqref="J25:J35">
    <cfRule type="cellIs" dxfId="55" priority="1" operator="lessThan">
      <formula>0</formula>
    </cfRule>
  </conditionalFormatting>
  <hyperlinks>
    <hyperlink ref="A39" r:id="rId1" xr:uid="{8AE89F6E-C99E-42D7-A973-498546D2EA66}"/>
    <hyperlink ref="A40" r:id="rId2" xr:uid="{6442ADA4-A134-4F55-A29A-7984BA425314}"/>
    <hyperlink ref="A41" r:id="rId3" xr:uid="{C5FBB516-DE3E-482A-986F-65B9696D6EA1}"/>
    <hyperlink ref="A42" r:id="rId4" location=":~:text=Euro%20area%20annual%20inflation%20was,from%208.9%20%25%20in%20July%202022.&amp;text=The%20%EF%AC%81gures%20presented%20in%20this,of%20Consumer%20Prices%20(HICP)." xr:uid="{1A9EE651-C9C7-43F5-97D4-C5486496E84E}"/>
    <hyperlink ref="A43" r:id="rId5" xr:uid="{5EE7C3EC-E077-499C-B4D3-5D042733A54B}"/>
  </hyperlinks>
  <pageMargins left="0.7" right="0.7" top="0.75" bottom="0.75" header="0.3" footer="0.3"/>
  <ignoredErrors>
    <ignoredError sqref="B7" formulaRange="1"/>
    <ignoredError sqref="B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5AA47-4B7A-4430-96D2-3374E9202D6C}">
  <dimension ref="A1:M17"/>
  <sheetViews>
    <sheetView showGridLines="0" zoomScale="85" zoomScaleNormal="85" workbookViewId="0">
      <selection activeCell="E22" sqref="E22"/>
    </sheetView>
  </sheetViews>
  <sheetFormatPr defaultColWidth="8.6640625" defaultRowHeight="14.4" x14ac:dyDescent="0.3"/>
  <cols>
    <col min="1" max="1" width="27.109375" bestFit="1" customWidth="1"/>
    <col min="2" max="2" width="16.44140625" customWidth="1"/>
    <col min="3" max="12" width="21.109375" bestFit="1" customWidth="1"/>
  </cols>
  <sheetData>
    <row r="1" spans="1:13" ht="17.399999999999999" x14ac:dyDescent="0.3">
      <c r="A1" s="2" t="s">
        <v>0</v>
      </c>
      <c r="B1" s="2"/>
      <c r="C1" s="3"/>
      <c r="D1" s="3"/>
      <c r="E1" s="3"/>
      <c r="F1" s="3"/>
      <c r="G1" s="1"/>
      <c r="H1" s="3"/>
      <c r="I1" s="3"/>
      <c r="J1" s="3"/>
      <c r="K1" s="3"/>
      <c r="L1" s="3"/>
    </row>
    <row r="2" spans="1:13" x14ac:dyDescent="0.3">
      <c r="A2" s="5" t="s">
        <v>29</v>
      </c>
      <c r="B2" s="5"/>
      <c r="C2" s="19" t="s">
        <v>30</v>
      </c>
      <c r="D2" s="17">
        <v>0.2</v>
      </c>
      <c r="E2" s="3"/>
      <c r="F2" s="3"/>
      <c r="G2" s="3"/>
      <c r="H2" s="3"/>
      <c r="I2" s="3"/>
      <c r="J2" s="3"/>
      <c r="K2" s="3"/>
      <c r="L2" s="3"/>
    </row>
    <row r="3" spans="1:13" x14ac:dyDescent="0.3">
      <c r="A3" s="3" t="s">
        <v>31</v>
      </c>
      <c r="B3" s="3"/>
      <c r="C3" s="6"/>
      <c r="D3" s="6"/>
      <c r="E3" s="6"/>
      <c r="F3" s="6"/>
      <c r="G3" s="6"/>
      <c r="H3" s="3"/>
      <c r="I3" s="3"/>
      <c r="J3" s="3"/>
      <c r="K3" s="3"/>
      <c r="L3" s="3"/>
    </row>
    <row r="4" spans="1:13" x14ac:dyDescent="0.3">
      <c r="A4" s="3"/>
      <c r="B4" s="7" cm="1">
        <f t="array" ref="B4:L4">_xlfn.SEQUENCE(1,11,0)</f>
        <v>0</v>
      </c>
      <c r="C4" s="7">
        <v>1</v>
      </c>
      <c r="D4" s="7">
        <v>2</v>
      </c>
      <c r="E4" s="7">
        <v>3</v>
      </c>
      <c r="F4" s="7">
        <v>4</v>
      </c>
      <c r="G4" s="7">
        <v>5</v>
      </c>
      <c r="H4" s="7">
        <v>6</v>
      </c>
      <c r="I4" s="7">
        <v>7</v>
      </c>
      <c r="J4" s="7">
        <v>8</v>
      </c>
      <c r="K4" s="7">
        <v>9</v>
      </c>
      <c r="L4" s="7">
        <v>10</v>
      </c>
    </row>
    <row r="5" spans="1:13" x14ac:dyDescent="0.3">
      <c r="A5" s="8" t="s">
        <v>32</v>
      </c>
      <c r="B5" s="43">
        <f t="array" ref="B5:L5">revenue</f>
        <v>0</v>
      </c>
      <c r="C5" s="43">
        <v>6000000</v>
      </c>
      <c r="D5" s="43">
        <v>6000000</v>
      </c>
      <c r="E5" s="43">
        <v>6000000</v>
      </c>
      <c r="F5" s="43">
        <v>6000000</v>
      </c>
      <c r="G5" s="43">
        <v>6000000</v>
      </c>
      <c r="H5" s="43">
        <v>6000000</v>
      </c>
      <c r="I5" s="43">
        <v>6000000</v>
      </c>
      <c r="J5" s="43">
        <v>6000000</v>
      </c>
      <c r="K5" s="43">
        <v>6000000</v>
      </c>
      <c r="L5" s="43">
        <v>6000000</v>
      </c>
    </row>
    <row r="6" spans="1:13" x14ac:dyDescent="0.3">
      <c r="A6" s="13" t="s">
        <v>152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</row>
    <row r="7" spans="1:13" x14ac:dyDescent="0.3">
      <c r="A7" s="12" t="s">
        <v>33</v>
      </c>
      <c r="B7" s="43">
        <v>0</v>
      </c>
      <c r="C7" s="43">
        <f ca="1">RANDBETWEEN(51000,81000)</f>
        <v>71164</v>
      </c>
      <c r="D7" s="43">
        <f t="shared" ref="D7:L7" ca="1" si="0">RANDBETWEEN(51000,81000)</f>
        <v>54612</v>
      </c>
      <c r="E7" s="43">
        <f t="shared" ca="1" si="0"/>
        <v>52354</v>
      </c>
      <c r="F7" s="43">
        <f t="shared" ca="1" si="0"/>
        <v>61864</v>
      </c>
      <c r="G7" s="43">
        <f t="shared" ca="1" si="0"/>
        <v>56225</v>
      </c>
      <c r="H7" s="43">
        <f t="shared" ca="1" si="0"/>
        <v>65111</v>
      </c>
      <c r="I7" s="43">
        <f t="shared" ca="1" si="0"/>
        <v>62976</v>
      </c>
      <c r="J7" s="43">
        <f t="shared" ca="1" si="0"/>
        <v>66043</v>
      </c>
      <c r="K7" s="43">
        <f t="shared" ca="1" si="0"/>
        <v>51637</v>
      </c>
      <c r="L7" s="43">
        <f t="shared" ca="1" si="0"/>
        <v>64970</v>
      </c>
      <c r="M7" s="22" t="s">
        <v>34</v>
      </c>
    </row>
    <row r="8" spans="1:13" x14ac:dyDescent="0.3">
      <c r="A8" s="4" t="s">
        <v>35</v>
      </c>
      <c r="B8" s="43">
        <v>0</v>
      </c>
      <c r="C8" s="43" cm="1">
        <f t="array" ref="C8">(BackOfficeWage+SiteOperationWage)</f>
        <v>2050443</v>
      </c>
      <c r="D8" s="43" cm="1">
        <f t="array" ref="D8">(BackOfficeWage+SiteOperationWage)</f>
        <v>2050443</v>
      </c>
      <c r="E8" s="43" cm="1">
        <f t="array" ref="E8">(BackOfficeWage+SiteOperationWage)</f>
        <v>2050443</v>
      </c>
      <c r="F8" s="43" cm="1">
        <f t="array" ref="F8">(BackOfficeWage+SiteOperationWage)</f>
        <v>2050443</v>
      </c>
      <c r="G8" s="43" cm="1">
        <f t="array" ref="G8">(BackOfficeWage+SiteOperationWage)</f>
        <v>2050443</v>
      </c>
      <c r="H8" s="43" cm="1">
        <f t="array" ref="H8">(BackOfficeWage+SiteOperationWage)</f>
        <v>2050443</v>
      </c>
      <c r="I8" s="43" cm="1">
        <f t="array" ref="I8">(BackOfficeWage+SiteOperationWage)</f>
        <v>2050443</v>
      </c>
      <c r="J8" s="43" cm="1">
        <f t="array" ref="J8">(BackOfficeWage+SiteOperationWage)</f>
        <v>2050443</v>
      </c>
      <c r="K8" s="43" cm="1">
        <f t="array" ref="K8">(BackOfficeWage+SiteOperationWage)</f>
        <v>2050443</v>
      </c>
      <c r="L8" s="43" cm="1">
        <f t="array" ref="L8">(BackOfficeWage+SiteOperationWage)</f>
        <v>2050443</v>
      </c>
    </row>
    <row r="9" spans="1:13" x14ac:dyDescent="0.3">
      <c r="A9" s="4" t="s">
        <v>36</v>
      </c>
      <c r="B9" s="43">
        <v>0</v>
      </c>
      <c r="C9" s="43" cm="1">
        <f t="array" ref="C9">TotalRent</f>
        <v>159600</v>
      </c>
      <c r="D9" s="43" cm="1">
        <f t="array" ref="D9">TotalRent</f>
        <v>159600</v>
      </c>
      <c r="E9" s="43" cm="1">
        <f t="array" ref="E9">TotalRent</f>
        <v>159600</v>
      </c>
      <c r="F9" s="43" cm="1">
        <f t="array" ref="F9">TotalRent</f>
        <v>159600</v>
      </c>
      <c r="G9" s="43" cm="1">
        <f t="array" ref="G9">TotalRent</f>
        <v>159600</v>
      </c>
      <c r="H9" s="43" cm="1">
        <f t="array" ref="H9">TotalRent</f>
        <v>159600</v>
      </c>
      <c r="I9" s="43" cm="1">
        <f t="array" ref="I9">TotalRent</f>
        <v>159600</v>
      </c>
      <c r="J9" s="43" cm="1">
        <f t="array" ref="J9">TotalRent</f>
        <v>159600</v>
      </c>
      <c r="K9" s="43" cm="1">
        <f t="array" ref="K9">TotalRent</f>
        <v>159600</v>
      </c>
      <c r="L9" s="43" cm="1">
        <f t="array" ref="L9">TotalRent</f>
        <v>159600</v>
      </c>
    </row>
    <row r="10" spans="1:13" x14ac:dyDescent="0.3">
      <c r="A10" s="4" t="s">
        <v>37</v>
      </c>
      <c r="B10" s="43">
        <v>0</v>
      </c>
      <c r="C10" s="43" cm="1">
        <f t="array" ref="C10">TotalUtility</f>
        <v>18763.8</v>
      </c>
      <c r="D10" s="43" cm="1">
        <f t="array" ref="D10">TotalUtility</f>
        <v>18763.8</v>
      </c>
      <c r="E10" s="43" cm="1">
        <f t="array" ref="E10">TotalUtility</f>
        <v>18763.8</v>
      </c>
      <c r="F10" s="43" cm="1">
        <f t="array" ref="F10">TotalUtility</f>
        <v>18763.8</v>
      </c>
      <c r="G10" s="43" cm="1">
        <f t="array" ref="G10">TotalUtility</f>
        <v>18763.8</v>
      </c>
      <c r="H10" s="43" cm="1">
        <f t="array" ref="H10">TotalUtility</f>
        <v>18763.8</v>
      </c>
      <c r="I10" s="43" cm="1">
        <f t="array" ref="I10">TotalUtility</f>
        <v>18763.8</v>
      </c>
      <c r="J10" s="43" cm="1">
        <f t="array" ref="J10">TotalUtility</f>
        <v>18763.8</v>
      </c>
      <c r="K10" s="43" cm="1">
        <f t="array" ref="K10">TotalUtility</f>
        <v>18763.8</v>
      </c>
      <c r="L10" s="43" cm="1">
        <f t="array" ref="L10">TotalUtility</f>
        <v>18763.8</v>
      </c>
    </row>
    <row r="11" spans="1:13" x14ac:dyDescent="0.3">
      <c r="A11" s="4" t="s">
        <v>38</v>
      </c>
      <c r="B11" s="43">
        <v>0</v>
      </c>
      <c r="C11" s="43">
        <f>15000*'Capital requirement'!$B$14</f>
        <v>75000</v>
      </c>
      <c r="D11" s="43">
        <f>15000*'Capital requirement'!$B$14</f>
        <v>75000</v>
      </c>
      <c r="E11" s="43">
        <f>15000*'Capital requirement'!$B$14</f>
        <v>75000</v>
      </c>
      <c r="F11" s="43">
        <f>15000*'Capital requirement'!$B$14</f>
        <v>75000</v>
      </c>
      <c r="G11" s="43">
        <f>15000*'Capital requirement'!$B$14</f>
        <v>75000</v>
      </c>
      <c r="H11" s="43">
        <f>15000*'Capital requirement'!$B$14</f>
        <v>75000</v>
      </c>
      <c r="I11" s="43">
        <f>15000*'Capital requirement'!$B$14</f>
        <v>75000</v>
      </c>
      <c r="J11" s="43">
        <f>15000*'Capital requirement'!$B$14</f>
        <v>75000</v>
      </c>
      <c r="K11" s="43">
        <f>15000*'Capital requirement'!$B$14</f>
        <v>75000</v>
      </c>
      <c r="L11" s="43">
        <f>15000*'Capital requirement'!$B$14</f>
        <v>75000</v>
      </c>
    </row>
    <row r="12" spans="1:13" x14ac:dyDescent="0.3">
      <c r="A12" s="4" t="s">
        <v>39</v>
      </c>
      <c r="B12" s="43">
        <f t="array" ref="B12:L12">depreciation</f>
        <v>0</v>
      </c>
      <c r="C12" s="43">
        <v>3229610.8032</v>
      </c>
      <c r="D12" s="43">
        <v>3229610.8032</v>
      </c>
      <c r="E12" s="43">
        <v>3229610.8032</v>
      </c>
      <c r="F12" s="43">
        <v>3229610.8032</v>
      </c>
      <c r="G12" s="43">
        <v>3229610.8032</v>
      </c>
      <c r="H12" s="43">
        <v>3229610.8032</v>
      </c>
      <c r="I12" s="43">
        <v>3229610.8032</v>
      </c>
      <c r="J12" s="43">
        <v>3229610.8032</v>
      </c>
      <c r="K12" s="43">
        <v>3229610.8032</v>
      </c>
      <c r="L12" s="43">
        <v>3229610.8032</v>
      </c>
    </row>
    <row r="13" spans="1:13" x14ac:dyDescent="0.3">
      <c r="A13" s="10" t="s">
        <v>40</v>
      </c>
      <c r="B13" s="46">
        <f>SUM(B7:B12)</f>
        <v>0</v>
      </c>
      <c r="C13" s="46">
        <f ca="1">SUM(C7:C12)</f>
        <v>5604581.6031999998</v>
      </c>
      <c r="D13" s="46">
        <f t="shared" ref="D13:L13" ca="1" si="1">SUM(D7:D12)</f>
        <v>5588029.6031999998</v>
      </c>
      <c r="E13" s="46">
        <f t="shared" ca="1" si="1"/>
        <v>5585771.6031999998</v>
      </c>
      <c r="F13" s="46">
        <f t="shared" ca="1" si="1"/>
        <v>5595281.6031999998</v>
      </c>
      <c r="G13" s="46">
        <f t="shared" ca="1" si="1"/>
        <v>5589642.6031999998</v>
      </c>
      <c r="H13" s="46">
        <f t="shared" ca="1" si="1"/>
        <v>5598528.6031999998</v>
      </c>
      <c r="I13" s="46">
        <f t="shared" ca="1" si="1"/>
        <v>5596393.6031999998</v>
      </c>
      <c r="J13" s="46">
        <f t="shared" ca="1" si="1"/>
        <v>5599460.6031999998</v>
      </c>
      <c r="K13" s="46">
        <f t="shared" ca="1" si="1"/>
        <v>5585054.6031999998</v>
      </c>
      <c r="L13" s="46">
        <f t="shared" ca="1" si="1"/>
        <v>5598387.6031999998</v>
      </c>
    </row>
    <row r="14" spans="1:13" x14ac:dyDescent="0.3">
      <c r="A14" s="10" t="s">
        <v>41</v>
      </c>
      <c r="B14" s="47">
        <f t="shared" ref="B14:L14" si="2">B5-B13</f>
        <v>0</v>
      </c>
      <c r="C14" s="47">
        <f t="shared" ca="1" si="2"/>
        <v>395418.39680000022</v>
      </c>
      <c r="D14" s="47">
        <f t="shared" ca="1" si="2"/>
        <v>411970.39680000022</v>
      </c>
      <c r="E14" s="47">
        <f t="shared" ca="1" si="2"/>
        <v>414228.39680000022</v>
      </c>
      <c r="F14" s="47">
        <f t="shared" ca="1" si="2"/>
        <v>404718.39680000022</v>
      </c>
      <c r="G14" s="47">
        <f t="shared" ca="1" si="2"/>
        <v>410357.39680000022</v>
      </c>
      <c r="H14" s="47">
        <f t="shared" ca="1" si="2"/>
        <v>401471.39680000022</v>
      </c>
      <c r="I14" s="47">
        <f t="shared" ca="1" si="2"/>
        <v>403606.39680000022</v>
      </c>
      <c r="J14" s="47">
        <f t="shared" ca="1" si="2"/>
        <v>400539.39680000022</v>
      </c>
      <c r="K14" s="47">
        <f t="shared" ca="1" si="2"/>
        <v>414945.39680000022</v>
      </c>
      <c r="L14" s="47">
        <f t="shared" ca="1" si="2"/>
        <v>401612.39680000022</v>
      </c>
    </row>
    <row r="15" spans="1:13" x14ac:dyDescent="0.3">
      <c r="A15" s="14" t="s">
        <v>42</v>
      </c>
      <c r="B15" s="45">
        <f t="shared" ref="B15:L15" si="3">B14*income_tax</f>
        <v>0</v>
      </c>
      <c r="C15" s="45">
        <f ca="1">C14*income_tax</f>
        <v>79083.679360000053</v>
      </c>
      <c r="D15" s="45">
        <f t="shared" ca="1" si="3"/>
        <v>82394.079360000047</v>
      </c>
      <c r="E15" s="45">
        <f t="shared" ca="1" si="3"/>
        <v>82845.679360000053</v>
      </c>
      <c r="F15" s="45">
        <f t="shared" ca="1" si="3"/>
        <v>80943.679360000053</v>
      </c>
      <c r="G15" s="45">
        <f t="shared" ca="1" si="3"/>
        <v>82071.479360000056</v>
      </c>
      <c r="H15" s="45">
        <f t="shared" ca="1" si="3"/>
        <v>80294.279360000044</v>
      </c>
      <c r="I15" s="45">
        <f t="shared" ca="1" si="3"/>
        <v>80721.279360000044</v>
      </c>
      <c r="J15" s="45">
        <f t="shared" ca="1" si="3"/>
        <v>80107.87936000005</v>
      </c>
      <c r="K15" s="45">
        <f t="shared" ca="1" si="3"/>
        <v>82989.079360000047</v>
      </c>
      <c r="L15" s="45">
        <f t="shared" ca="1" si="3"/>
        <v>80322.479360000056</v>
      </c>
    </row>
    <row r="16" spans="1:13" ht="15" thickBot="1" x14ac:dyDescent="0.35">
      <c r="A16" s="10" t="s">
        <v>4</v>
      </c>
      <c r="B16" s="48">
        <f>B14-B15</f>
        <v>0</v>
      </c>
      <c r="C16" s="48">
        <f ca="1">C14-C15</f>
        <v>316334.71744000015</v>
      </c>
      <c r="D16" s="48">
        <f t="shared" ref="D16:H16" ca="1" si="4">D14-D15</f>
        <v>329576.31744000019</v>
      </c>
      <c r="E16" s="48">
        <f t="shared" ca="1" si="4"/>
        <v>331382.71744000015</v>
      </c>
      <c r="F16" s="48">
        <f t="shared" ca="1" si="4"/>
        <v>323774.71744000015</v>
      </c>
      <c r="G16" s="48">
        <f t="shared" ca="1" si="4"/>
        <v>328285.91744000016</v>
      </c>
      <c r="H16" s="48">
        <f t="shared" ca="1" si="4"/>
        <v>321177.11744000018</v>
      </c>
      <c r="I16" s="48">
        <f t="shared" ref="I16:K16" ca="1" si="5">I14-I15</f>
        <v>322885.11744000018</v>
      </c>
      <c r="J16" s="48">
        <f t="shared" ca="1" si="5"/>
        <v>320431.5174400002</v>
      </c>
      <c r="K16" s="48">
        <f t="shared" ca="1" si="5"/>
        <v>331956.31744000019</v>
      </c>
      <c r="L16" s="48">
        <f ca="1">L14-L15</f>
        <v>321289.91744000016</v>
      </c>
    </row>
    <row r="17" ht="15" thickTop="1" x14ac:dyDescent="0.3"/>
  </sheetData>
  <sheetProtection algorithmName="SHA-512" hashValue="3Ka4LMvY2WMJDyomRc2GWa2SNs0/Y5ubFWf86kLqsunZjXk6rPsAl3qPFG/uCrhvalcGaWhUSVGRgOyMsan0Iw==" saltValue="tdrMuW047hyPuu8kAgusaA==" spinCount="100000" sheet="1" objects="1" scenarios="1"/>
  <conditionalFormatting sqref="B16:K16">
    <cfRule type="cellIs" dxfId="54" priority="1" operator="lessThan">
      <formula>0</formula>
    </cfRule>
  </conditionalFormatting>
  <hyperlinks>
    <hyperlink ref="M7" r:id="rId1" xr:uid="{549D67AF-E680-624F-8645-70D42BFC839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A2DD3-A2A8-4FD2-96C3-0F08C4141D95}">
  <dimension ref="A1:L30"/>
  <sheetViews>
    <sheetView showGridLines="0" topLeftCell="A4" workbookViewId="0">
      <selection activeCell="D24" sqref="D24"/>
    </sheetView>
  </sheetViews>
  <sheetFormatPr defaultColWidth="8.6640625" defaultRowHeight="14.4" x14ac:dyDescent="0.3"/>
  <cols>
    <col min="1" max="1" width="26.33203125" bestFit="1" customWidth="1"/>
    <col min="2" max="2" width="19.44140625" bestFit="1" customWidth="1"/>
    <col min="3" max="3" width="10.44140625" customWidth="1"/>
    <col min="4" max="4" width="81" bestFit="1" customWidth="1"/>
    <col min="5" max="5" width="23.6640625" bestFit="1" customWidth="1"/>
    <col min="6" max="6" width="10.44140625" customWidth="1"/>
    <col min="7" max="7" width="81" bestFit="1" customWidth="1"/>
    <col min="8" max="8" width="23.6640625" bestFit="1" customWidth="1"/>
    <col min="9" max="9" width="10.44140625" customWidth="1"/>
    <col min="10" max="10" width="81" bestFit="1" customWidth="1"/>
    <col min="11" max="12" width="10.44140625" customWidth="1"/>
    <col min="13" max="16" width="11.44140625" customWidth="1"/>
  </cols>
  <sheetData>
    <row r="1" spans="1:3" ht="17.399999999999999" x14ac:dyDescent="0.3">
      <c r="A1" s="2" t="s">
        <v>0</v>
      </c>
      <c r="B1" s="2"/>
    </row>
    <row r="2" spans="1:3" x14ac:dyDescent="0.3">
      <c r="A2" s="5" t="s">
        <v>43</v>
      </c>
      <c r="B2" s="5"/>
    </row>
    <row r="3" spans="1:3" x14ac:dyDescent="0.3">
      <c r="A3" s="3" t="s">
        <v>2</v>
      </c>
      <c r="B3" s="3"/>
    </row>
    <row r="4" spans="1:3" x14ac:dyDescent="0.3">
      <c r="A4" s="3"/>
      <c r="B4" s="7">
        <v>0</v>
      </c>
    </row>
    <row r="5" spans="1:3" x14ac:dyDescent="0.3">
      <c r="A5" s="18" t="s">
        <v>44</v>
      </c>
      <c r="B5" s="23"/>
    </row>
    <row r="6" spans="1:3" x14ac:dyDescent="0.3">
      <c r="A6" s="12" t="s">
        <v>45</v>
      </c>
      <c r="B6" s="93">
        <f>B19*B15*B14</f>
        <v>19.5</v>
      </c>
    </row>
    <row r="7" spans="1:3" x14ac:dyDescent="0.3">
      <c r="A7" s="18" t="s">
        <v>46</v>
      </c>
      <c r="B7" s="94"/>
    </row>
    <row r="8" spans="1:3" x14ac:dyDescent="0.3">
      <c r="A8" s="12" t="s">
        <v>47</v>
      </c>
      <c r="B8" s="93">
        <f>B20*B15*B14+3*80*B21*3*B14+B23*B14</f>
        <v>15.433450000000001</v>
      </c>
    </row>
    <row r="9" spans="1:3" x14ac:dyDescent="0.3">
      <c r="A9" s="12" t="s">
        <v>48</v>
      </c>
      <c r="B9" s="93">
        <f>B24*800*B14+B26*25000+SUM(B28:B29)*B15*B14</f>
        <v>11.846499999999999</v>
      </c>
    </row>
    <row r="10" spans="1:3" x14ac:dyDescent="0.3">
      <c r="A10" s="12" t="s">
        <v>49</v>
      </c>
      <c r="B10" s="93">
        <f>B30*B14</f>
        <v>2.5</v>
      </c>
    </row>
    <row r="11" spans="1:3" x14ac:dyDescent="0.3">
      <c r="A11" s="12" t="s">
        <v>50</v>
      </c>
      <c r="B11" s="95">
        <f>SUM(B6:B10)</f>
        <v>49.279949999999999</v>
      </c>
      <c r="C11" t="s">
        <v>51</v>
      </c>
    </row>
    <row r="12" spans="1:3" x14ac:dyDescent="0.3">
      <c r="B12" s="37">
        <f>B11*spot_exchange_rate</f>
        <v>80.740270080000002</v>
      </c>
      <c r="C12" t="s">
        <v>51</v>
      </c>
    </row>
    <row r="14" spans="1:3" x14ac:dyDescent="0.3">
      <c r="A14" t="s">
        <v>52</v>
      </c>
      <c r="B14">
        <v>5</v>
      </c>
    </row>
    <row r="15" spans="1:3" x14ac:dyDescent="0.3">
      <c r="A15" t="s">
        <v>53</v>
      </c>
      <c r="B15">
        <v>3</v>
      </c>
      <c r="C15" t="s">
        <v>54</v>
      </c>
    </row>
    <row r="17" spans="1:12" x14ac:dyDescent="0.3">
      <c r="A17" t="s">
        <v>55</v>
      </c>
    </row>
    <row r="18" spans="1:12" x14ac:dyDescent="0.3">
      <c r="A18" s="86" t="s">
        <v>56</v>
      </c>
      <c r="B18" s="87" t="s">
        <v>57</v>
      </c>
      <c r="C18" s="86" t="s">
        <v>58</v>
      </c>
      <c r="D18" s="87" t="s">
        <v>59</v>
      </c>
    </row>
    <row r="19" spans="1:12" x14ac:dyDescent="0.3">
      <c r="A19" s="88" t="s">
        <v>60</v>
      </c>
      <c r="B19" s="80">
        <v>1.3</v>
      </c>
      <c r="C19" s="79" t="s">
        <v>61</v>
      </c>
      <c r="D19" s="78"/>
    </row>
    <row r="20" spans="1:12" x14ac:dyDescent="0.3">
      <c r="A20" s="88" t="s">
        <v>62</v>
      </c>
      <c r="B20" s="81">
        <v>0.89400000000000002</v>
      </c>
      <c r="C20" t="s">
        <v>61</v>
      </c>
      <c r="D20" s="74" t="s">
        <v>63</v>
      </c>
    </row>
    <row r="21" spans="1:12" x14ac:dyDescent="0.3">
      <c r="A21" s="89" t="s">
        <v>64</v>
      </c>
      <c r="B21" s="82">
        <v>5.0000000000000001E-4</v>
      </c>
      <c r="C21" s="73" t="s">
        <v>65</v>
      </c>
      <c r="D21" s="72" t="s">
        <v>66</v>
      </c>
    </row>
    <row r="22" spans="1:12" x14ac:dyDescent="0.3">
      <c r="A22" s="90"/>
      <c r="B22" s="83"/>
      <c r="C22" s="76"/>
      <c r="D22" s="75" t="s">
        <v>67</v>
      </c>
    </row>
    <row r="23" spans="1:12" x14ac:dyDescent="0.3">
      <c r="A23" s="88" t="s">
        <v>68</v>
      </c>
      <c r="B23" s="81">
        <v>4.4690000000000001E-2</v>
      </c>
      <c r="C23" t="s">
        <v>69</v>
      </c>
      <c r="D23" s="74" t="s">
        <v>70</v>
      </c>
    </row>
    <row r="24" spans="1:12" x14ac:dyDescent="0.3">
      <c r="A24" s="89" t="s">
        <v>71</v>
      </c>
      <c r="B24" s="82">
        <v>2.9999999999999997E-4</v>
      </c>
      <c r="C24" s="73" t="s">
        <v>65</v>
      </c>
      <c r="D24" s="72" t="s">
        <v>72</v>
      </c>
    </row>
    <row r="25" spans="1:12" x14ac:dyDescent="0.3">
      <c r="A25" s="90"/>
      <c r="B25" s="84"/>
      <c r="D25" s="77" t="s">
        <v>73</v>
      </c>
    </row>
    <row r="26" spans="1:12" x14ac:dyDescent="0.3">
      <c r="A26" s="89" t="s">
        <v>74</v>
      </c>
      <c r="B26" s="82">
        <v>4.0000000000000002E-4</v>
      </c>
      <c r="C26" s="73" t="s">
        <v>65</v>
      </c>
      <c r="D26" s="72" t="s">
        <v>75</v>
      </c>
    </row>
    <row r="27" spans="1:12" x14ac:dyDescent="0.3">
      <c r="A27" s="90"/>
      <c r="B27" s="83"/>
      <c r="C27" s="76"/>
      <c r="D27" s="75" t="s">
        <v>76</v>
      </c>
    </row>
    <row r="28" spans="1:12" x14ac:dyDescent="0.3">
      <c r="A28" s="91" t="s">
        <v>77</v>
      </c>
      <c r="B28" s="81">
        <v>3.1099999999999999E-2</v>
      </c>
      <c r="C28" t="s">
        <v>61</v>
      </c>
      <c r="D28" s="74"/>
    </row>
    <row r="29" spans="1:12" x14ac:dyDescent="0.3">
      <c r="A29" s="88" t="s">
        <v>78</v>
      </c>
      <c r="B29" s="85">
        <v>1.2E-2</v>
      </c>
      <c r="C29" s="79" t="s">
        <v>61</v>
      </c>
      <c r="D29" s="78"/>
    </row>
    <row r="30" spans="1:12" x14ac:dyDescent="0.3">
      <c r="A30" s="92" t="s">
        <v>49</v>
      </c>
      <c r="B30" s="84">
        <v>0.5</v>
      </c>
      <c r="C30" t="s">
        <v>69</v>
      </c>
      <c r="D30" s="74"/>
      <c r="E30" s="62"/>
      <c r="F30" s="62"/>
      <c r="G30" s="62"/>
      <c r="H30" s="62"/>
      <c r="I30" s="62"/>
      <c r="J30" s="62"/>
      <c r="K30" s="62"/>
      <c r="L30" s="62"/>
    </row>
  </sheetData>
  <sheetProtection algorithmName="SHA-512" hashValue="R4zkX/1zARBI5Y8bMBSRFoWZqV3JWBnuGp/AoEj1T+DiRWmnSSjF1yIK26ezl4po5KvXlc9zJ1eZhwUOdZAgxw==" saltValue="hxiBq0yz/ydF5FkUihXexg==" spinCount="100000" sheet="1" objects="1" scenarios="1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D5A85-ECB8-4D94-85E8-ACE817BF94A0}">
  <dimension ref="A1:L19"/>
  <sheetViews>
    <sheetView showGridLines="0" workbookViewId="0">
      <selection activeCell="C16" sqref="C16"/>
    </sheetView>
  </sheetViews>
  <sheetFormatPr defaultColWidth="8.6640625" defaultRowHeight="14.4" x14ac:dyDescent="0.3"/>
  <cols>
    <col min="1" max="1" width="20.6640625" bestFit="1" customWidth="1"/>
    <col min="2" max="2" width="13.77734375" bestFit="1" customWidth="1"/>
    <col min="3" max="3" width="24.33203125" bestFit="1" customWidth="1"/>
    <col min="4" max="5" width="13.77734375" bestFit="1" customWidth="1"/>
    <col min="6" max="6" width="15.44140625" bestFit="1" customWidth="1"/>
    <col min="7" max="8" width="13.77734375" bestFit="1" customWidth="1"/>
    <col min="9" max="9" width="16.44140625" bestFit="1" customWidth="1"/>
    <col min="10" max="12" width="13.77734375" bestFit="1" customWidth="1"/>
  </cols>
  <sheetData>
    <row r="1" spans="1:12" ht="17.399999999999999" x14ac:dyDescent="0.3">
      <c r="A1" s="2" t="s">
        <v>0</v>
      </c>
      <c r="B1" s="2"/>
      <c r="C1" s="3"/>
      <c r="D1" s="3"/>
      <c r="E1" s="3"/>
      <c r="F1" s="3"/>
      <c r="G1" s="1"/>
      <c r="H1" s="3"/>
      <c r="I1" s="3"/>
      <c r="J1" s="3"/>
      <c r="K1" s="3"/>
      <c r="L1" s="3"/>
    </row>
    <row r="2" spans="1:12" x14ac:dyDescent="0.3">
      <c r="A2" s="5" t="s">
        <v>5</v>
      </c>
      <c r="B2" s="5"/>
      <c r="C2" s="3" t="s">
        <v>79</v>
      </c>
      <c r="D2" s="3">
        <v>10</v>
      </c>
      <c r="E2" s="3"/>
      <c r="F2" s="3" t="s">
        <v>80</v>
      </c>
      <c r="G2" s="3"/>
      <c r="H2" s="3"/>
      <c r="I2" s="99">
        <f>capital_expenditure/25</f>
        <v>3229610.8032</v>
      </c>
      <c r="J2" s="3"/>
      <c r="K2" s="3"/>
      <c r="L2" s="3"/>
    </row>
    <row r="3" spans="1:12" x14ac:dyDescent="0.3">
      <c r="A3" s="3" t="s">
        <v>2</v>
      </c>
      <c r="B3" s="3"/>
      <c r="C3" s="6"/>
      <c r="D3" s="6"/>
      <c r="E3" s="6"/>
      <c r="F3" s="6"/>
      <c r="G3" s="6"/>
      <c r="H3" s="3"/>
      <c r="I3" s="3"/>
      <c r="J3" s="3"/>
      <c r="K3" s="3"/>
      <c r="L3" s="3"/>
    </row>
    <row r="4" spans="1:12" x14ac:dyDescent="0.3">
      <c r="A4" s="3"/>
      <c r="B4" s="7" cm="1">
        <f t="array" ref="B4:L4">_xlfn.SEQUENCE(1,11,0)</f>
        <v>0</v>
      </c>
      <c r="C4" s="7">
        <v>1</v>
      </c>
      <c r="D4" s="7">
        <v>2</v>
      </c>
      <c r="E4" s="7">
        <v>3</v>
      </c>
      <c r="F4" s="7">
        <v>4</v>
      </c>
      <c r="G4" s="7">
        <v>5</v>
      </c>
      <c r="H4" s="7">
        <v>6</v>
      </c>
      <c r="I4" s="7">
        <v>7</v>
      </c>
      <c r="J4" s="7">
        <v>8</v>
      </c>
      <c r="K4" s="7">
        <v>9</v>
      </c>
      <c r="L4" s="7">
        <v>10</v>
      </c>
    </row>
    <row r="5" spans="1:12" x14ac:dyDescent="0.3">
      <c r="A5" s="16" t="s">
        <v>81</v>
      </c>
      <c r="B5" s="96">
        <f>'Capital requirement'!B12*10^6</f>
        <v>80740270.079999998</v>
      </c>
      <c r="C5" s="96">
        <f>B7</f>
        <v>80740270.079999998</v>
      </c>
      <c r="D5" s="96">
        <f>C7</f>
        <v>77510659.276799992</v>
      </c>
      <c r="E5" s="96">
        <f>D7</f>
        <v>74281048.473599985</v>
      </c>
      <c r="F5" s="96">
        <f t="shared" ref="F5:K5" si="0">E7</f>
        <v>71051437.670399979</v>
      </c>
      <c r="G5" s="96">
        <f t="shared" si="0"/>
        <v>67821826.867199972</v>
      </c>
      <c r="H5" s="96">
        <f t="shared" si="0"/>
        <v>64592216.063999973</v>
      </c>
      <c r="I5" s="96">
        <f t="shared" si="0"/>
        <v>61362605.260799974</v>
      </c>
      <c r="J5" s="96">
        <f t="shared" si="0"/>
        <v>58132994.457599975</v>
      </c>
      <c r="K5" s="96">
        <f t="shared" si="0"/>
        <v>54903383.654399976</v>
      </c>
      <c r="L5" s="96">
        <f>K7</f>
        <v>51673772.851199977</v>
      </c>
    </row>
    <row r="6" spans="1:12" x14ac:dyDescent="0.3">
      <c r="A6" s="12" t="s">
        <v>5</v>
      </c>
      <c r="B6" s="96">
        <v>0</v>
      </c>
      <c r="C6" s="96">
        <f t="shared" ref="C6:L6" si="1">depreciation_percentage</f>
        <v>3229610.8032</v>
      </c>
      <c r="D6" s="96">
        <f t="shared" si="1"/>
        <v>3229610.8032</v>
      </c>
      <c r="E6" s="96">
        <f t="shared" si="1"/>
        <v>3229610.8032</v>
      </c>
      <c r="F6" s="96">
        <f t="shared" si="1"/>
        <v>3229610.8032</v>
      </c>
      <c r="G6" s="96">
        <f t="shared" si="1"/>
        <v>3229610.8032</v>
      </c>
      <c r="H6" s="96">
        <f t="shared" si="1"/>
        <v>3229610.8032</v>
      </c>
      <c r="I6" s="96">
        <f t="shared" si="1"/>
        <v>3229610.8032</v>
      </c>
      <c r="J6" s="96">
        <f t="shared" si="1"/>
        <v>3229610.8032</v>
      </c>
      <c r="K6" s="96">
        <f t="shared" si="1"/>
        <v>3229610.8032</v>
      </c>
      <c r="L6" s="96">
        <f t="shared" si="1"/>
        <v>3229610.8032</v>
      </c>
    </row>
    <row r="7" spans="1:12" x14ac:dyDescent="0.3">
      <c r="A7" s="15" t="s">
        <v>82</v>
      </c>
      <c r="B7" s="96">
        <f>B5-B6</f>
        <v>80740270.079999998</v>
      </c>
      <c r="C7" s="96">
        <f>C5-C6</f>
        <v>77510659.276799992</v>
      </c>
      <c r="D7" s="96">
        <f>D5-D6</f>
        <v>74281048.473599985</v>
      </c>
      <c r="E7" s="96">
        <f>E5-E6</f>
        <v>71051437.670399979</v>
      </c>
      <c r="F7" s="96">
        <f t="shared" ref="F7:K7" si="2">F5-F6</f>
        <v>67821826.867199972</v>
      </c>
      <c r="G7" s="96">
        <f t="shared" si="2"/>
        <v>64592216.063999973</v>
      </c>
      <c r="H7" s="96">
        <f t="shared" si="2"/>
        <v>61362605.260799974</v>
      </c>
      <c r="I7" s="96">
        <f t="shared" si="2"/>
        <v>58132994.457599975</v>
      </c>
      <c r="J7" s="96">
        <f t="shared" si="2"/>
        <v>54903383.654399976</v>
      </c>
      <c r="K7" s="96">
        <f t="shared" si="2"/>
        <v>51673772.851199977</v>
      </c>
      <c r="L7" s="96">
        <f>L5-L6</f>
        <v>48444162.047999978</v>
      </c>
    </row>
    <row r="19" spans="6:6" x14ac:dyDescent="0.3">
      <c r="F19" t="s">
        <v>83</v>
      </c>
    </row>
  </sheetData>
  <sheetProtection algorithmName="SHA-512" hashValue="BcFZoI56Cl5Ybe5Z1e1ia9q1ACiRW+6RCYY9NoB699p1ZoAr7sU0cJkHXMCEAYrmaDNkUIkS2bheTiucZZXmqA==" saltValue="7ZZi1+Rll1Z7SE5t0MMQ6g==" spinCount="100000"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9A215-0ED4-40AD-8FE1-FF18E832F7ED}">
  <dimension ref="A1:M7"/>
  <sheetViews>
    <sheetView showGridLines="0" workbookViewId="0">
      <selection activeCell="E21" sqref="E21"/>
    </sheetView>
  </sheetViews>
  <sheetFormatPr defaultColWidth="8.6640625" defaultRowHeight="14.4" x14ac:dyDescent="0.3"/>
  <cols>
    <col min="1" max="1" width="29" bestFit="1" customWidth="1"/>
    <col min="2" max="2" width="7.44140625" customWidth="1"/>
    <col min="3" max="3" width="16.6640625" bestFit="1" customWidth="1"/>
    <col min="4" max="4" width="19.77734375" bestFit="1" customWidth="1"/>
    <col min="5" max="12" width="16.6640625" bestFit="1" customWidth="1"/>
  </cols>
  <sheetData>
    <row r="1" spans="1:13" ht="17.399999999999999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3" ht="14.55" customHeight="1" x14ac:dyDescent="0.3">
      <c r="A2" s="5" t="s">
        <v>84</v>
      </c>
      <c r="B2" s="3"/>
      <c r="C2" s="17"/>
      <c r="D2" s="3"/>
      <c r="E2" s="149" t="s">
        <v>151</v>
      </c>
      <c r="F2" s="149"/>
      <c r="G2" s="3">
        <v>0.06</v>
      </c>
      <c r="H2" s="3"/>
      <c r="I2" s="3"/>
      <c r="J2" s="3"/>
      <c r="K2" s="3"/>
      <c r="L2" s="3"/>
    </row>
    <row r="3" spans="1:13" x14ac:dyDescent="0.3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3" x14ac:dyDescent="0.3">
      <c r="A4" s="3"/>
      <c r="B4" s="7" cm="1">
        <f t="array" ref="B4:L4">_xlfn.SEQUENCE(1,11,0)</f>
        <v>0</v>
      </c>
      <c r="C4" s="7">
        <v>1</v>
      </c>
      <c r="D4" s="7">
        <v>2</v>
      </c>
      <c r="E4" s="7">
        <v>3</v>
      </c>
      <c r="F4" s="7">
        <v>4</v>
      </c>
      <c r="G4" s="7">
        <v>5</v>
      </c>
      <c r="H4" s="7">
        <v>6</v>
      </c>
      <c r="I4" s="7">
        <v>7</v>
      </c>
      <c r="J4" s="7">
        <v>8</v>
      </c>
      <c r="K4" s="7">
        <v>9</v>
      </c>
      <c r="L4" s="7">
        <v>10</v>
      </c>
    </row>
    <row r="5" spans="1:13" x14ac:dyDescent="0.3">
      <c r="A5" s="4" t="s">
        <v>86</v>
      </c>
      <c r="B5" s="23"/>
      <c r="C5" s="23">
        <v>5</v>
      </c>
      <c r="D5" s="23">
        <v>5</v>
      </c>
      <c r="E5" s="23">
        <v>5</v>
      </c>
      <c r="F5" s="23">
        <v>5</v>
      </c>
      <c r="G5" s="23">
        <v>5</v>
      </c>
      <c r="H5" s="23">
        <v>5</v>
      </c>
      <c r="I5" s="23">
        <v>5</v>
      </c>
      <c r="J5" s="23">
        <v>5</v>
      </c>
      <c r="K5" s="23">
        <v>5</v>
      </c>
      <c r="L5" s="23">
        <v>5</v>
      </c>
      <c r="M5" s="24"/>
    </row>
    <row r="6" spans="1:13" x14ac:dyDescent="0.3">
      <c r="A6" s="4" t="s">
        <v>154</v>
      </c>
      <c r="B6" s="23"/>
      <c r="C6" s="43">
        <f>20000000</f>
        <v>20000000</v>
      </c>
      <c r="D6" s="43">
        <f t="shared" ref="D6:J6" si="0">20000000</f>
        <v>20000000</v>
      </c>
      <c r="E6" s="43">
        <f t="shared" si="0"/>
        <v>20000000</v>
      </c>
      <c r="F6" s="43">
        <f t="shared" si="0"/>
        <v>20000000</v>
      </c>
      <c r="G6" s="43">
        <f t="shared" si="0"/>
        <v>20000000</v>
      </c>
      <c r="H6" s="43">
        <f t="shared" si="0"/>
        <v>20000000</v>
      </c>
      <c r="I6" s="43">
        <f t="shared" si="0"/>
        <v>20000000</v>
      </c>
      <c r="J6" s="43">
        <f t="shared" si="0"/>
        <v>20000000</v>
      </c>
      <c r="K6" s="43">
        <f t="shared" ref="K6:L6" si="1">20000000</f>
        <v>20000000</v>
      </c>
      <c r="L6" s="43">
        <f t="shared" si="1"/>
        <v>20000000</v>
      </c>
      <c r="M6" s="24"/>
    </row>
    <row r="7" spans="1:13" x14ac:dyDescent="0.3">
      <c r="A7" s="10" t="s">
        <v>87</v>
      </c>
      <c r="B7" s="9"/>
      <c r="C7" s="47">
        <f t="shared" ref="C7:L7" si="2">PRODUCT(C5:C6)*cost_per_kwh</f>
        <v>6000000</v>
      </c>
      <c r="D7" s="47">
        <f t="shared" si="2"/>
        <v>6000000</v>
      </c>
      <c r="E7" s="47">
        <f t="shared" si="2"/>
        <v>6000000</v>
      </c>
      <c r="F7" s="47">
        <f t="shared" si="2"/>
        <v>6000000</v>
      </c>
      <c r="G7" s="47">
        <f t="shared" si="2"/>
        <v>6000000</v>
      </c>
      <c r="H7" s="47">
        <f t="shared" si="2"/>
        <v>6000000</v>
      </c>
      <c r="I7" s="47">
        <f t="shared" si="2"/>
        <v>6000000</v>
      </c>
      <c r="J7" s="47">
        <f t="shared" si="2"/>
        <v>6000000</v>
      </c>
      <c r="K7" s="47">
        <f t="shared" si="2"/>
        <v>6000000</v>
      </c>
      <c r="L7" s="47">
        <f t="shared" si="2"/>
        <v>6000000</v>
      </c>
    </row>
  </sheetData>
  <sheetProtection algorithmName="SHA-512" hashValue="B1EtCuKbimy07iyow/sn2i3tx0foMIhLyvnUm1zWJvY+2SA8XVUZJKa9zsv7L3+OxDhDmrlmOgGMCwTFNKlAnQ==" saltValue="4ZzHTLMpyNCiczy0hVJ0zA==" spinCount="100000" sheet="1" objects="1" scenarios="1"/>
  <mergeCells count="1">
    <mergeCell ref="E2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8B052-9DA6-964D-8E1F-1611880FC681}">
  <dimension ref="A1:S19"/>
  <sheetViews>
    <sheetView showGridLines="0" zoomScale="55" zoomScaleNormal="55" workbookViewId="0">
      <selection activeCell="E23" sqref="E23"/>
    </sheetView>
  </sheetViews>
  <sheetFormatPr defaultColWidth="11.44140625" defaultRowHeight="14.4" x14ac:dyDescent="0.3"/>
  <cols>
    <col min="1" max="1" width="35.109375" customWidth="1"/>
    <col min="2" max="2" width="30.6640625" customWidth="1"/>
    <col min="3" max="3" width="21" customWidth="1"/>
    <col min="4" max="4" width="30.6640625" customWidth="1"/>
    <col min="5" max="5" width="11.109375" customWidth="1"/>
    <col min="6" max="6" width="3.109375" customWidth="1"/>
    <col min="7" max="7" width="24.109375" bestFit="1" customWidth="1"/>
    <col min="8" max="10" width="20.44140625" customWidth="1"/>
    <col min="12" max="12" width="3.109375" customWidth="1"/>
    <col min="13" max="13" width="33.33203125" customWidth="1"/>
    <col min="14" max="14" width="9.109375" bestFit="1" customWidth="1"/>
    <col min="15" max="15" width="26.6640625" bestFit="1" customWidth="1"/>
    <col min="16" max="16" width="23.44140625" bestFit="1" customWidth="1"/>
    <col min="17" max="17" width="16.44140625" bestFit="1" customWidth="1"/>
    <col min="18" max="18" width="16.109375" bestFit="1" customWidth="1"/>
    <col min="21" max="21" width="27.33203125" customWidth="1"/>
    <col min="23" max="23" width="30.77734375" customWidth="1"/>
    <col min="24" max="24" width="27.33203125" customWidth="1"/>
    <col min="25" max="25" width="30.44140625" customWidth="1"/>
    <col min="26" max="26" width="16.33203125" customWidth="1"/>
  </cols>
  <sheetData>
    <row r="1" spans="1:19" ht="17.399999999999999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x14ac:dyDescent="0.3">
      <c r="A2" s="5" t="s">
        <v>159</v>
      </c>
      <c r="B2" s="3"/>
      <c r="C2" s="17"/>
      <c r="D2" s="3"/>
      <c r="E2" s="149"/>
      <c r="F2" s="149"/>
      <c r="G2" s="3"/>
      <c r="H2" s="3"/>
      <c r="I2" s="3"/>
      <c r="J2" s="3"/>
      <c r="K2" s="3"/>
      <c r="L2" s="3"/>
      <c r="M2" s="17"/>
      <c r="N2" s="3"/>
      <c r="O2" s="149"/>
      <c r="P2" s="149"/>
      <c r="Q2" s="3"/>
      <c r="R2" s="3"/>
      <c r="S2" s="3"/>
    </row>
    <row r="3" spans="1:19" x14ac:dyDescent="0.3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31.2" x14ac:dyDescent="0.3">
      <c r="A4" s="29" t="s">
        <v>88</v>
      </c>
      <c r="B4" s="29" t="s">
        <v>89</v>
      </c>
      <c r="C4" s="36" t="s">
        <v>90</v>
      </c>
      <c r="D4" s="36" t="s">
        <v>91</v>
      </c>
      <c r="E4" s="28" t="s">
        <v>92</v>
      </c>
      <c r="G4" s="32" t="s">
        <v>93</v>
      </c>
      <c r="H4" s="29" t="s">
        <v>89</v>
      </c>
      <c r="I4" s="36" t="s">
        <v>90</v>
      </c>
      <c r="J4" s="36" t="s">
        <v>91</v>
      </c>
      <c r="K4" s="28" t="s">
        <v>92</v>
      </c>
      <c r="M4" t="s">
        <v>94</v>
      </c>
      <c r="N4" t="s">
        <v>95</v>
      </c>
      <c r="O4" t="s">
        <v>96</v>
      </c>
      <c r="P4" t="s">
        <v>97</v>
      </c>
      <c r="Q4" t="s">
        <v>98</v>
      </c>
      <c r="R4" t="s">
        <v>99</v>
      </c>
      <c r="S4" t="s">
        <v>92</v>
      </c>
    </row>
    <row r="5" spans="1:19" x14ac:dyDescent="0.3">
      <c r="A5" s="52" t="s">
        <v>100</v>
      </c>
      <c r="B5" s="53">
        <v>56880</v>
      </c>
      <c r="C5" s="34">
        <v>1</v>
      </c>
      <c r="D5" s="60">
        <f>Table1[[#This Row],[Average salary in Azerbaijan py(AZN)]]*Table1[[#This Row],[Number of employees]]</f>
        <v>56880</v>
      </c>
      <c r="E5" s="55" t="s">
        <v>34</v>
      </c>
      <c r="G5" s="52" t="s">
        <v>101</v>
      </c>
      <c r="H5" s="53">
        <v>62460</v>
      </c>
      <c r="I5" s="34">
        <v>1</v>
      </c>
      <c r="J5" s="54">
        <f>Table2[[#This Row],[Average salary in Azerbaijan py(AZN)]]*Table2[[#This Row],[Number of employees]]</f>
        <v>62460</v>
      </c>
      <c r="K5" s="55" t="s">
        <v>34</v>
      </c>
      <c r="M5" t="s">
        <v>102</v>
      </c>
      <c r="N5">
        <v>300</v>
      </c>
      <c r="O5" s="37">
        <v>2000</v>
      </c>
      <c r="P5" s="37">
        <f>O5*12</f>
        <v>24000</v>
      </c>
      <c r="Q5">
        <f>N5*Energy_consumption_office_kWh_sqm</f>
        <v>49800</v>
      </c>
      <c r="R5" s="37">
        <f>Q5*Cost_for_business_per_kWh</f>
        <v>5478</v>
      </c>
      <c r="S5" s="40" t="s">
        <v>34</v>
      </c>
    </row>
    <row r="6" spans="1:19" x14ac:dyDescent="0.3">
      <c r="A6" s="52" t="s">
        <v>103</v>
      </c>
      <c r="B6" s="53">
        <v>73020</v>
      </c>
      <c r="C6" s="34">
        <v>1</v>
      </c>
      <c r="D6" s="60">
        <f>Table1[[#This Row],[Average salary in Azerbaijan py(AZN)]]*Table1[[#This Row],[Number of employees]]</f>
        <v>73020</v>
      </c>
      <c r="E6" s="55" t="s">
        <v>34</v>
      </c>
      <c r="G6" s="52" t="s">
        <v>104</v>
      </c>
      <c r="H6" s="53">
        <v>10080</v>
      </c>
      <c r="I6" s="34">
        <v>5</v>
      </c>
      <c r="J6" s="54">
        <f>Table2[[#This Row],[Average salary in Azerbaijan py(AZN)]]*Table2[[#This Row],[Number of employees]]</f>
        <v>50400</v>
      </c>
      <c r="K6" s="55" t="s">
        <v>34</v>
      </c>
      <c r="M6" t="s">
        <v>105</v>
      </c>
      <c r="N6">
        <v>500</v>
      </c>
      <c r="O6" s="37">
        <v>1700</v>
      </c>
      <c r="P6" s="37">
        <f t="shared" ref="P6:P8" si="0">O6*12</f>
        <v>20400</v>
      </c>
      <c r="Q6">
        <f>N6*Energy_consumption_kWh_sqm_warehouse</f>
        <v>33550</v>
      </c>
      <c r="R6" s="37">
        <f>Q6*Cost_for_business_per_kWh</f>
        <v>3690.5</v>
      </c>
      <c r="S6" s="40" t="s">
        <v>34</v>
      </c>
    </row>
    <row r="7" spans="1:19" x14ac:dyDescent="0.3">
      <c r="A7" s="52" t="s">
        <v>106</v>
      </c>
      <c r="B7" s="53">
        <v>24860</v>
      </c>
      <c r="C7" s="34">
        <v>3</v>
      </c>
      <c r="D7" s="60">
        <f>Table1[[#This Row],[Average salary in Azerbaijan py(AZN)]]*Table1[[#This Row],[Number of employees]]</f>
        <v>74580</v>
      </c>
      <c r="E7" s="55" t="s">
        <v>34</v>
      </c>
      <c r="G7" s="52" t="s">
        <v>107</v>
      </c>
      <c r="H7" s="53">
        <v>36000</v>
      </c>
      <c r="I7" s="34">
        <v>3</v>
      </c>
      <c r="J7" s="54">
        <f>Table2[[#This Row],[Average salary in Azerbaijan py(AZN)]]*Table2[[#This Row],[Number of employees]]</f>
        <v>108000</v>
      </c>
      <c r="K7" s="55" t="s">
        <v>34</v>
      </c>
      <c r="M7" t="s">
        <v>108</v>
      </c>
      <c r="N7">
        <v>800</v>
      </c>
      <c r="O7" s="37">
        <v>5100</v>
      </c>
      <c r="P7" s="37">
        <f t="shared" si="0"/>
        <v>61200</v>
      </c>
      <c r="Q7">
        <f>N7*Energy_consumption_kWh_sqm_warehouse</f>
        <v>53679.999999999993</v>
      </c>
      <c r="R7" s="37">
        <f>Q7*Cost_for_business_per_kWh</f>
        <v>5904.7999999999993</v>
      </c>
      <c r="S7" s="40" t="s">
        <v>34</v>
      </c>
    </row>
    <row r="8" spans="1:19" x14ac:dyDescent="0.3">
      <c r="A8" s="52" t="s">
        <v>109</v>
      </c>
      <c r="B8" s="53">
        <v>46840</v>
      </c>
      <c r="C8" s="34">
        <v>1</v>
      </c>
      <c r="D8" s="60">
        <f>Table1[[#This Row],[Average salary in Azerbaijan py(AZN)]]*Table1[[#This Row],[Number of employees]]</f>
        <v>46840</v>
      </c>
      <c r="E8" s="55" t="s">
        <v>34</v>
      </c>
      <c r="G8" s="52" t="s">
        <v>110</v>
      </c>
      <c r="H8" s="53">
        <v>12000</v>
      </c>
      <c r="I8" s="34">
        <v>4</v>
      </c>
      <c r="J8" s="54">
        <f>Table2[[#This Row],[Average salary in Azerbaijan py(AZN)]]*Table2[[#This Row],[Number of employees]]</f>
        <v>48000</v>
      </c>
      <c r="K8" s="55" t="s">
        <v>34</v>
      </c>
      <c r="M8" t="s">
        <v>111</v>
      </c>
      <c r="N8">
        <v>500</v>
      </c>
      <c r="O8" s="37">
        <v>4500</v>
      </c>
      <c r="P8" s="37">
        <f t="shared" si="0"/>
        <v>54000</v>
      </c>
      <c r="Q8">
        <f>N8*Energy_consumption_kWh_sqm_warehouse</f>
        <v>33550</v>
      </c>
      <c r="R8" s="37">
        <f>Q8*Cost_for_business_per_kWh</f>
        <v>3690.5</v>
      </c>
      <c r="S8" s="40" t="s">
        <v>34</v>
      </c>
    </row>
    <row r="9" spans="1:19" x14ac:dyDescent="0.3">
      <c r="A9" s="52" t="s">
        <v>112</v>
      </c>
      <c r="B9" s="53">
        <v>23980</v>
      </c>
      <c r="C9" s="34">
        <v>2</v>
      </c>
      <c r="D9" s="60">
        <f>Table1[[#This Row],[Average salary in Azerbaijan py(AZN)]]*Table1[[#This Row],[Number of employees]]</f>
        <v>47960</v>
      </c>
      <c r="E9" s="55" t="s">
        <v>34</v>
      </c>
      <c r="G9" s="52" t="s">
        <v>113</v>
      </c>
      <c r="H9" s="53">
        <v>12600</v>
      </c>
      <c r="I9" s="34">
        <v>8</v>
      </c>
      <c r="J9" s="54">
        <f>Table2[[#This Row],[Average salary in Azerbaijan py(AZN)]]*Table2[[#This Row],[Number of employees]]</f>
        <v>100800</v>
      </c>
      <c r="K9" s="55" t="s">
        <v>34</v>
      </c>
      <c r="M9" t="s">
        <v>114</v>
      </c>
      <c r="P9" s="37">
        <f>SUBTOTAL(109,rent_utility_fee[Average cost per year AZN])</f>
        <v>159600</v>
      </c>
      <c r="R9" s="37">
        <f>SUBTOTAL(109,rent_utility_fee[Energy cost py])</f>
        <v>18763.8</v>
      </c>
      <c r="S9" s="40"/>
    </row>
    <row r="10" spans="1:19" ht="14.55" customHeight="1" x14ac:dyDescent="0.3">
      <c r="A10" s="52" t="s">
        <v>115</v>
      </c>
      <c r="B10" s="53">
        <v>41820</v>
      </c>
      <c r="C10" s="34">
        <v>1</v>
      </c>
      <c r="D10" s="60">
        <f>Table1[[#This Row],[Average salary in Azerbaijan py(AZN)]]*Table1[[#This Row],[Number of employees]]</f>
        <v>41820</v>
      </c>
      <c r="E10" s="55" t="s">
        <v>34</v>
      </c>
      <c r="G10" s="52" t="s">
        <v>116</v>
      </c>
      <c r="H10" s="53">
        <v>32700</v>
      </c>
      <c r="I10" s="34">
        <v>5</v>
      </c>
      <c r="J10" s="54">
        <f>Table2[[#This Row],[Average salary in Azerbaijan py(AZN)]]*Table2[[#This Row],[Number of employees]]</f>
        <v>163500</v>
      </c>
      <c r="K10" s="55" t="s">
        <v>34</v>
      </c>
    </row>
    <row r="11" spans="1:19" x14ac:dyDescent="0.3">
      <c r="A11" s="52" t="s">
        <v>117</v>
      </c>
      <c r="B11" s="53">
        <v>33400</v>
      </c>
      <c r="C11" s="34">
        <v>1</v>
      </c>
      <c r="D11" s="60">
        <f>Table1[[#This Row],[Average salary in Azerbaijan py(AZN)]]*Table1[[#This Row],[Number of employees]]</f>
        <v>33400</v>
      </c>
      <c r="E11" s="55" t="s">
        <v>34</v>
      </c>
      <c r="G11" s="52" t="s">
        <v>118</v>
      </c>
      <c r="H11" s="53">
        <v>15800</v>
      </c>
      <c r="I11" s="34">
        <v>4</v>
      </c>
      <c r="J11" s="54">
        <f>Table2[[#This Row],[Average salary in Azerbaijan py(AZN)]]*Table2[[#This Row],[Number of employees]]</f>
        <v>63200</v>
      </c>
      <c r="K11" s="55" t="s">
        <v>34</v>
      </c>
      <c r="M11" s="150" t="s">
        <v>119</v>
      </c>
      <c r="N11" s="151">
        <f>67.1</f>
        <v>67.099999999999994</v>
      </c>
    </row>
    <row r="12" spans="1:19" x14ac:dyDescent="0.3">
      <c r="A12" s="52" t="s">
        <v>120</v>
      </c>
      <c r="B12" s="53">
        <v>31660</v>
      </c>
      <c r="C12" s="34">
        <v>3</v>
      </c>
      <c r="D12" s="60">
        <f>Table1[[#This Row],[Average salary in Azerbaijan py(AZN)]]*Table1[[#This Row],[Number of employees]]</f>
        <v>94980</v>
      </c>
      <c r="E12" s="55" t="s">
        <v>34</v>
      </c>
      <c r="G12" s="52" t="s">
        <v>121</v>
      </c>
      <c r="H12" s="53">
        <v>42960</v>
      </c>
      <c r="I12" s="34">
        <v>3</v>
      </c>
      <c r="J12" s="54">
        <f>Table2[[#This Row],[Average salary in Azerbaijan py(AZN)]]*Table2[[#This Row],[Number of employees]]</f>
        <v>128880</v>
      </c>
      <c r="K12" s="55" t="s">
        <v>34</v>
      </c>
      <c r="M12" s="150"/>
      <c r="N12" s="151"/>
      <c r="O12" s="22" t="s">
        <v>34</v>
      </c>
    </row>
    <row r="13" spans="1:19" x14ac:dyDescent="0.3">
      <c r="A13" s="56" t="s">
        <v>122</v>
      </c>
      <c r="B13" s="57">
        <v>36500</v>
      </c>
      <c r="C13" s="35">
        <v>2</v>
      </c>
      <c r="D13" s="61">
        <f>Table1[[#This Row],[Average salary in Azerbaijan py(AZN)]]*Table1[[#This Row],[Number of employees]]</f>
        <v>73000</v>
      </c>
      <c r="E13" s="59" t="s">
        <v>34</v>
      </c>
      <c r="G13" s="52" t="s">
        <v>123</v>
      </c>
      <c r="H13" s="53">
        <v>39000</v>
      </c>
      <c r="I13" s="34">
        <v>5</v>
      </c>
      <c r="J13" s="54">
        <f>Table2[[#This Row],[Average salary in Azerbaijan py(AZN)]]*Table2[[#This Row],[Number of employees]]</f>
        <v>195000</v>
      </c>
      <c r="K13" s="55" t="s">
        <v>34</v>
      </c>
      <c r="M13" s="38" t="s">
        <v>124</v>
      </c>
      <c r="N13">
        <v>166</v>
      </c>
      <c r="O13" s="22" t="s">
        <v>34</v>
      </c>
    </row>
    <row r="14" spans="1:19" ht="15.6" x14ac:dyDescent="0.3">
      <c r="A14" s="30" t="s">
        <v>114</v>
      </c>
      <c r="B14" s="31">
        <f>SUBTOTAL(109,Table1[Average salary in Azerbaijan py(AZN)])</f>
        <v>368960</v>
      </c>
      <c r="C14" s="30">
        <f>SUM(Table1[Number of employees])</f>
        <v>15</v>
      </c>
      <c r="D14" s="31">
        <f>SUM(Table1[Total cost per year(AZN)])</f>
        <v>542480</v>
      </c>
      <c r="E14" s="33"/>
      <c r="G14" s="52" t="s">
        <v>125</v>
      </c>
      <c r="H14" s="53">
        <v>14760</v>
      </c>
      <c r="I14" s="34">
        <v>7</v>
      </c>
      <c r="J14" s="54">
        <f>Table2[[#This Row],[Average salary in Azerbaijan py(AZN)]]*Table2[[#This Row],[Number of employees]]</f>
        <v>103320</v>
      </c>
      <c r="K14" s="55" t="s">
        <v>34</v>
      </c>
      <c r="M14" s="39"/>
    </row>
    <row r="15" spans="1:19" ht="15.6" x14ac:dyDescent="0.3">
      <c r="A15" s="27"/>
      <c r="B15" s="27"/>
      <c r="C15" s="27"/>
      <c r="D15" s="27"/>
      <c r="E15" s="27"/>
      <c r="G15" s="52" t="s">
        <v>126</v>
      </c>
      <c r="H15" s="53">
        <v>36700</v>
      </c>
      <c r="I15" s="34">
        <v>8</v>
      </c>
      <c r="J15" s="54">
        <f>Table2[[#This Row],[Average salary in Azerbaijan py(AZN)]]*Table2[[#This Row],[Number of employees]]</f>
        <v>293600</v>
      </c>
      <c r="K15" s="55" t="s">
        <v>34</v>
      </c>
      <c r="M15" s="39" t="s">
        <v>127</v>
      </c>
      <c r="N15" s="37">
        <v>0.11</v>
      </c>
      <c r="O15" s="22" t="s">
        <v>34</v>
      </c>
    </row>
    <row r="16" spans="1:19" ht="15.6" x14ac:dyDescent="0.3">
      <c r="A16" s="27"/>
      <c r="B16" s="27"/>
      <c r="C16" s="27"/>
      <c r="D16" s="27"/>
      <c r="E16" s="27"/>
      <c r="G16" s="52" t="s">
        <v>128</v>
      </c>
      <c r="H16" s="53">
        <v>31000</v>
      </c>
      <c r="I16" s="34">
        <v>2</v>
      </c>
      <c r="J16" s="54">
        <f>Table2[[#This Row],[Average salary in Azerbaijan py(AZN)]]*Table2[[#This Row],[Number of employees]]</f>
        <v>62000</v>
      </c>
      <c r="K16" s="55" t="s">
        <v>34</v>
      </c>
    </row>
    <row r="17" spans="7:11" x14ac:dyDescent="0.3">
      <c r="G17" s="52" t="s">
        <v>129</v>
      </c>
      <c r="H17" s="53">
        <v>31001</v>
      </c>
      <c r="I17" s="34">
        <v>3</v>
      </c>
      <c r="J17" s="54">
        <f>Table2[[#This Row],[Average salary in Azerbaijan py(AZN)]]*Table2[[#This Row],[Number of employees]]</f>
        <v>93003</v>
      </c>
      <c r="K17" s="55" t="s">
        <v>34</v>
      </c>
    </row>
    <row r="18" spans="7:11" x14ac:dyDescent="0.3">
      <c r="G18" s="56" t="s">
        <v>130</v>
      </c>
      <c r="H18" s="57">
        <v>17900</v>
      </c>
      <c r="I18" s="35">
        <v>2</v>
      </c>
      <c r="J18" s="58">
        <f>Table2[[#This Row],[Average salary in Azerbaijan py(AZN)]]*Table2[[#This Row],[Number of employees]]</f>
        <v>35800</v>
      </c>
      <c r="K18" s="59" t="s">
        <v>34</v>
      </c>
    </row>
    <row r="19" spans="7:11" ht="15.6" x14ac:dyDescent="0.3">
      <c r="G19" s="30" t="s">
        <v>114</v>
      </c>
      <c r="H19" s="31">
        <f>SUBTOTAL(109,Table2[Average salary in Azerbaijan py(AZN)])</f>
        <v>394961</v>
      </c>
      <c r="I19" s="30">
        <f>SUM(Table2[Number of employees])</f>
        <v>60</v>
      </c>
      <c r="J19" s="31">
        <f>SUM(Table2[Total cost per year(AZN)])</f>
        <v>1507963</v>
      </c>
      <c r="K19" s="33"/>
    </row>
  </sheetData>
  <sheetProtection algorithmName="SHA-512" hashValue="jOhMewDx12bpUQDMaBFK8fLcIH30GP8aRDL8CAQbH3lR+7o9jLXhSA/adgHEIzmm5hnPmNXCKSyuOIoUWAQMIg==" saltValue="Ww9/x2cYpTWQ3P0zIMH2Zw==" spinCount="100000" sheet="1" objects="1" scenarios="1"/>
  <mergeCells count="4">
    <mergeCell ref="M11:M12"/>
    <mergeCell ref="N11:N12"/>
    <mergeCell ref="E2:F2"/>
    <mergeCell ref="O2:P2"/>
  </mergeCells>
  <phoneticPr fontId="19" type="noConversion"/>
  <hyperlinks>
    <hyperlink ref="E5" r:id="rId1" display="https://worldsalaries.com/" xr:uid="{ADB0F7EF-7A28-3C4F-B596-15C116A0E1D6}"/>
    <hyperlink ref="E6" r:id="rId2" display="https://worldsalaries.com/" xr:uid="{4EB902EC-DC3A-1842-B4F9-B26482155955}"/>
    <hyperlink ref="E7" r:id="rId3" display="https://worldsalaries.com/" xr:uid="{556E74D7-C33A-1643-97FF-04197E83039E}"/>
    <hyperlink ref="E8" r:id="rId4" display="https://worldsalaries.com/" xr:uid="{B083E5F0-DB10-1142-9B23-F74DA6F9C804}"/>
    <hyperlink ref="E9" r:id="rId5" display="https://rollthepay.com/Azerbaijan/procurement-specialist-salary/" xr:uid="{D369E62B-DB80-0644-AD2B-9025B788DF73}"/>
    <hyperlink ref="E10" r:id="rId6" display="https://worldsalaries.com/" xr:uid="{009E8510-4CC9-AB4B-910C-B2C13E8050A2}"/>
    <hyperlink ref="E11" r:id="rId7" display="https://worldsalaries.com/" xr:uid="{C012F21F-8BC1-2649-9D22-E5B691C7C925}"/>
    <hyperlink ref="E12" r:id="rId8" display="https://worldsalaries.com/" xr:uid="{40842527-53B6-084B-8CC0-04E583B349FF}"/>
    <hyperlink ref="E13" r:id="rId9" display="https://www.paylab.com/az/salaryinfo/electrical-power-engineering?lang=en" xr:uid="{A70C5260-BA8C-D24D-B6B7-061B7857A2DB}"/>
    <hyperlink ref="K5" r:id="rId10" display="https://worldsalaries.com/" xr:uid="{45E2596F-C38F-CF48-AE2A-BC280E2E93B3}"/>
    <hyperlink ref="K6" r:id="rId11" display="https://worldsalaries.com/" xr:uid="{4A88148D-4B45-4440-B29E-B7B2107D56FB}"/>
    <hyperlink ref="K7" r:id="rId12" display="https://www.glassdoor.nl/Salaries/baku-hr-manager-salary-SRCH_IL.0,4_IM1230_KO5,15.htm?countryRedirect=true" xr:uid="{0EA5E78D-20FE-6947-86EA-590030E6CD90}"/>
    <hyperlink ref="K8" r:id="rId13" display="https://www.glassdoor.nl/Salaries/baku-administrative-assistant-salary-SRCH_IL.0,4_IM1230_KO5,29.htm?countryRedirect=true" xr:uid="{AC8646A4-00CF-5C47-8A0C-0A805A461278}"/>
    <hyperlink ref="K9" r:id="rId14" display="https://www.glassdoor.nl/Salaries/baku-technician-salary-SRCH_IL.0,4_IC3583897_KO5,15.htm?countryRedirect=true" xr:uid="{FE2FC09F-D2E4-C942-ADB8-B33D219415B1}"/>
    <hyperlink ref="K10" r:id="rId15" display="https://www.salaryexplorer.com/salary-survey.php?loc=15&amp;loctype=1&amp;job=12730&amp;jobtype=3" xr:uid="{FC5485FF-A93B-6B4C-84A0-08CEE489CA31}"/>
    <hyperlink ref="K11" r:id="rId16" display="https://www.salaryexplorer.com/salary-survey.php?loc=15&amp;loctype=1&amp;job=641&amp;jobtype=3" xr:uid="{5A7777A2-FA62-104F-B9C8-593F66B640FC}"/>
    <hyperlink ref="K12" r:id="rId17" display="https://worldsalaries.com/" xr:uid="{F33518EE-8BB4-8C46-8E12-C25DFA792352}"/>
    <hyperlink ref="K13" r:id="rId18" display="https://www.glassdoor.nl/Maandloon/BP-Subsea-Hardware-Engineer-Bakoe-Maandloon-EJI_IE9011.0,2_KO3,27_IL.28,33_IM1230.htm" xr:uid="{67DEBC46-D307-4A40-B11F-85387D7317EF}"/>
    <hyperlink ref="K14" r:id="rId19" display="http://salaryexplorer.com/" xr:uid="{4204EF5D-2487-644F-89E5-5A74FCFB630F}"/>
    <hyperlink ref="K15" r:id="rId20" display="https://www.salaryexplorer.com/salary-survey.php?loc=15&amp;loctype=1&amp;job=259&amp;jobtype=3" xr:uid="{9F4E2464-0E21-704A-96E7-FCE8C156C591}"/>
    <hyperlink ref="K16" r:id="rId21" display="https://www.salaryexplorer.com/salary-survey.php?loc=15&amp;loctype=1&amp;job=10142&amp;jobtype=3" xr:uid="{C165BED9-02FA-EE48-9CCE-7DD8B52E8375}"/>
    <hyperlink ref="K17" r:id="rId22" display="https://www.salaryexplorer.com/salary-survey.php?loc=15&amp;loctype=1&amp;job=10142&amp;jobtype=3" xr:uid="{ADA3EE8B-DE6A-B34C-926B-CF7465A63289}"/>
    <hyperlink ref="K18" r:id="rId23" display="https://www.salaryexplorer.com/salary-survey.php?loc=15&amp;loctype=1&amp;job=245&amp;jobtype=3" xr:uid="{D86CA105-7D2D-AB4C-B2CE-1D6203E58123}"/>
    <hyperlink ref="O12" r:id="rId24" xr:uid="{CE627F9B-8ED2-BD43-A4FD-9797A7F6A104}"/>
    <hyperlink ref="O13" r:id="rId25" xr:uid="{ED5D8E4D-E5FD-354D-851C-419BEBBCBE01}"/>
    <hyperlink ref="O15" r:id="rId26" xr:uid="{B74A02C0-2DEB-EE49-B808-54FFA629BAEB}"/>
    <hyperlink ref="S5" r:id="rId27" xr:uid="{6EE1C3B8-BF20-4808-8BB6-1FD7B21D0C03}"/>
    <hyperlink ref="S6" r:id="rId28" xr:uid="{E97D6C06-917B-494F-BF0D-FBF4A80151D5}"/>
    <hyperlink ref="S7" r:id="rId29" xr:uid="{1186A58D-7A07-4868-9C8C-D274E7FE154F}"/>
    <hyperlink ref="S8" r:id="rId30" xr:uid="{C7538942-7CEE-4B14-8CE8-9C8A4FB2857E}"/>
  </hyperlinks>
  <pageMargins left="0.7" right="0.7" top="0.75" bottom="0.75" header="0.3" footer="0.3"/>
  <pageSetup orientation="portrait" r:id="rId31"/>
  <tableParts count="3">
    <tablePart r:id="rId32"/>
    <tablePart r:id="rId33"/>
    <tablePart r:id="rId3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9CCAF-2C09-4F98-BFE0-05FFCED026B3}">
  <dimension ref="A1:I15"/>
  <sheetViews>
    <sheetView showGridLines="0" workbookViewId="0">
      <selection sqref="A1:I3"/>
    </sheetView>
  </sheetViews>
  <sheetFormatPr defaultColWidth="8.77734375" defaultRowHeight="14.4" x14ac:dyDescent="0.3"/>
  <cols>
    <col min="1" max="1" width="14.33203125" bestFit="1" customWidth="1"/>
    <col min="2" max="2" width="10.77734375" bestFit="1" customWidth="1"/>
    <col min="5" max="5" width="18" bestFit="1" customWidth="1"/>
    <col min="6" max="6" width="16.33203125" bestFit="1" customWidth="1"/>
  </cols>
  <sheetData>
    <row r="1" spans="1:9" ht="17.399999999999999" x14ac:dyDescent="0.3">
      <c r="A1" s="2" t="s">
        <v>0</v>
      </c>
      <c r="B1" s="3"/>
      <c r="C1" s="3"/>
      <c r="D1" s="3"/>
      <c r="E1" s="3"/>
      <c r="F1" s="3"/>
      <c r="G1" s="3"/>
      <c r="H1" s="3"/>
      <c r="I1" s="3"/>
    </row>
    <row r="2" spans="1:9" x14ac:dyDescent="0.3">
      <c r="A2" s="5" t="s">
        <v>144</v>
      </c>
      <c r="B2" s="3"/>
      <c r="C2" s="17"/>
      <c r="D2" s="3"/>
      <c r="E2" s="149"/>
      <c r="F2" s="149"/>
      <c r="G2" s="3"/>
      <c r="H2" s="3"/>
      <c r="I2" s="3"/>
    </row>
    <row r="3" spans="1:9" x14ac:dyDescent="0.3">
      <c r="A3" s="3" t="s">
        <v>160</v>
      </c>
      <c r="B3" s="3"/>
      <c r="C3" s="3"/>
      <c r="D3" s="3"/>
      <c r="E3" s="3"/>
      <c r="F3" s="3"/>
      <c r="G3" s="3"/>
      <c r="H3" s="3"/>
      <c r="I3" s="3"/>
    </row>
    <row r="4" spans="1:9" x14ac:dyDescent="0.3">
      <c r="A4" s="34" t="s">
        <v>131</v>
      </c>
      <c r="B4" s="68">
        <v>29198</v>
      </c>
      <c r="C4" s="22" t="s">
        <v>132</v>
      </c>
      <c r="E4" s="34" t="s">
        <v>133</v>
      </c>
      <c r="F4" s="63">
        <v>2.7E-2</v>
      </c>
      <c r="G4" s="22" t="s">
        <v>134</v>
      </c>
    </row>
    <row r="5" spans="1:9" x14ac:dyDescent="0.3">
      <c r="A5" s="34" t="s">
        <v>135</v>
      </c>
      <c r="B5" s="68">
        <v>41048</v>
      </c>
      <c r="C5" s="22" t="s">
        <v>132</v>
      </c>
      <c r="E5" s="34" t="s">
        <v>136</v>
      </c>
      <c r="F5" s="34">
        <v>1.1299999999999999</v>
      </c>
      <c r="G5" s="22" t="s">
        <v>137</v>
      </c>
    </row>
    <row r="6" spans="1:9" ht="15" thickBot="1" x14ac:dyDescent="0.35">
      <c r="A6" s="34" t="s">
        <v>138</v>
      </c>
      <c r="B6" s="68">
        <f>B4+B5</f>
        <v>70246</v>
      </c>
      <c r="E6" s="35" t="s">
        <v>139</v>
      </c>
      <c r="F6" s="64">
        <v>6.7500000000000004E-2</v>
      </c>
      <c r="G6" s="22" t="s">
        <v>140</v>
      </c>
    </row>
    <row r="7" spans="1:9" ht="15" thickTop="1" x14ac:dyDescent="0.3">
      <c r="A7" s="34" t="s">
        <v>141</v>
      </c>
      <c r="B7" s="69">
        <f>B4/B6</f>
        <v>0.415653560345073</v>
      </c>
      <c r="E7" s="116" t="s">
        <v>142</v>
      </c>
      <c r="F7" s="117">
        <f>F4+F5*F6</f>
        <v>0.10327499999999999</v>
      </c>
    </row>
    <row r="8" spans="1:9" ht="15" thickBot="1" x14ac:dyDescent="0.35">
      <c r="A8" s="35" t="s">
        <v>143</v>
      </c>
      <c r="B8" s="70">
        <f>1-B7</f>
        <v>0.58434643965492694</v>
      </c>
    </row>
    <row r="9" spans="1:9" ht="15" thickTop="1" x14ac:dyDescent="0.3">
      <c r="A9" s="116" t="s">
        <v>144</v>
      </c>
      <c r="B9" s="117">
        <f>B7*F7+B8*F11*(1-F15)</f>
        <v>6.0160384001912433E-2</v>
      </c>
      <c r="E9" s="34" t="s">
        <v>145</v>
      </c>
      <c r="F9" s="65">
        <v>1601000</v>
      </c>
      <c r="G9" s="22" t="s">
        <v>132</v>
      </c>
    </row>
    <row r="10" spans="1:9" ht="15" thickBot="1" x14ac:dyDescent="0.35">
      <c r="E10" s="35" t="s">
        <v>146</v>
      </c>
      <c r="F10" s="66">
        <f>(41048000+37937000)/2</f>
        <v>39492500</v>
      </c>
    </row>
    <row r="11" spans="1:9" ht="15" thickTop="1" x14ac:dyDescent="0.3">
      <c r="E11" s="116" t="s">
        <v>147</v>
      </c>
      <c r="F11" s="117">
        <f>F9/F10</f>
        <v>4.0539342913211367E-2</v>
      </c>
    </row>
    <row r="13" spans="1:9" x14ac:dyDescent="0.3">
      <c r="E13" s="34" t="s">
        <v>22</v>
      </c>
      <c r="F13" s="34">
        <v>2021</v>
      </c>
      <c r="G13" s="34">
        <v>2020</v>
      </c>
    </row>
    <row r="14" spans="1:9" x14ac:dyDescent="0.3">
      <c r="E14" s="34" t="s">
        <v>148</v>
      </c>
      <c r="F14" s="63">
        <v>0.26500000000000001</v>
      </c>
      <c r="G14" s="67">
        <v>0.28000000000000003</v>
      </c>
      <c r="H14" s="22" t="s">
        <v>149</v>
      </c>
    </row>
    <row r="15" spans="1:9" x14ac:dyDescent="0.3">
      <c r="E15" s="116" t="s">
        <v>150</v>
      </c>
      <c r="F15" s="152">
        <f>AVERAGE(F14:G14)</f>
        <v>0.27250000000000002</v>
      </c>
      <c r="G15" s="153"/>
    </row>
  </sheetData>
  <sheetProtection algorithmName="SHA-512" hashValue="mbImuETlgxbwyoEnMkX3pyt5Xz1tFSQWbXFmMfb6Ymjiwp01888b2qA7mmEliTXhEFLccq0OADuGK/ZvhlFTnw==" saltValue="fG+rtw8QQE/Q0lAc8apEBw==" spinCount="100000" sheet="1" objects="1" scenarios="1"/>
  <mergeCells count="2">
    <mergeCell ref="F15:G15"/>
    <mergeCell ref="E2:F2"/>
  </mergeCells>
  <hyperlinks>
    <hyperlink ref="G4" r:id="rId1" location=":~:text=The%20France%2010%20Years%20Government,%3A15%20GMT%2B0)." xr:uid="{0ED3C9AF-69F7-49E5-AD41-A856F32A8B9A}"/>
    <hyperlink ref="G5" r:id="rId2" xr:uid="{FF1D5AA9-7296-4FB8-A884-241298A272DE}"/>
    <hyperlink ref="G6" r:id="rId3" location=":~:text=The%20market%20risk%20premium%20is%20determined%20on%20the%20basis%20of,%25%20and%207.75%25%20in%20France." xr:uid="{47D403AD-8815-4677-B173-C690DDA10876}"/>
    <hyperlink ref="G9" r:id="rId4" xr:uid="{7D8EC93F-0E09-4A00-A72A-6903178938BA}"/>
    <hyperlink ref="H14" r:id="rId5" xr:uid="{C7BFF4E7-06DC-48D9-B63A-B7BE86A41C84}"/>
    <hyperlink ref="C4" r:id="rId6" xr:uid="{35B5E534-88AA-4F83-B3F8-3BEFC134F37A}"/>
    <hyperlink ref="C5" r:id="rId7" xr:uid="{4AEACAD6-A153-4941-B4AE-CC0E0891E6CB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22F96-8AF9-4457-9390-32D8A5BED0A1}">
  <dimension ref="A1:AB1028"/>
  <sheetViews>
    <sheetView showGridLines="0" zoomScale="80" zoomScaleNormal="80" workbookViewId="0">
      <selection activeCell="G8" sqref="G8"/>
    </sheetView>
  </sheetViews>
  <sheetFormatPr defaultColWidth="8.77734375" defaultRowHeight="14.4" x14ac:dyDescent="0.3"/>
  <cols>
    <col min="1" max="1" width="14.44140625" bestFit="1" customWidth="1"/>
    <col min="2" max="2" width="14.109375" bestFit="1" customWidth="1"/>
    <col min="3" max="3" width="7.44140625" customWidth="1"/>
    <col min="4" max="4" width="14.6640625" style="26" bestFit="1" customWidth="1"/>
    <col min="5" max="5" width="7.44140625" bestFit="1" customWidth="1"/>
    <col min="6" max="6" width="3.109375" customWidth="1"/>
    <col min="7" max="7" width="12.6640625" bestFit="1" customWidth="1"/>
    <col min="8" max="8" width="14.6640625" bestFit="1" customWidth="1"/>
    <col min="9" max="9" width="15.44140625" bestFit="1" customWidth="1"/>
    <col min="10" max="10" width="15.77734375" bestFit="1" customWidth="1"/>
    <col min="11" max="11" width="22.33203125" bestFit="1" customWidth="1"/>
    <col min="12" max="12" width="15.6640625" bestFit="1" customWidth="1"/>
    <col min="13" max="13" width="14.44140625" customWidth="1"/>
    <col min="14" max="14" width="2.77734375" customWidth="1"/>
    <col min="15" max="15" width="15.109375" bestFit="1" customWidth="1"/>
    <col min="16" max="16" width="17.6640625" style="21" bestFit="1" customWidth="1"/>
    <col min="17" max="17" width="14.6640625" bestFit="1" customWidth="1"/>
    <col min="18" max="28" width="15.77734375" bestFit="1" customWidth="1"/>
  </cols>
  <sheetData>
    <row r="1" spans="1:28" ht="17.399999999999999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x14ac:dyDescent="0.3">
      <c r="A2" s="5" t="s">
        <v>165</v>
      </c>
      <c r="B2" s="3"/>
      <c r="C2" s="17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104" t="s">
        <v>155</v>
      </c>
      <c r="B4" s="104" t="s">
        <v>85</v>
      </c>
      <c r="C4" s="105" t="s">
        <v>156</v>
      </c>
      <c r="D4" s="115" t="s">
        <v>152</v>
      </c>
      <c r="E4" s="105" t="s">
        <v>156</v>
      </c>
      <c r="F4" s="114"/>
      <c r="G4" s="106" t="s">
        <v>156</v>
      </c>
      <c r="H4" s="106" t="s">
        <v>85</v>
      </c>
      <c r="I4" s="106" t="s">
        <v>157</v>
      </c>
      <c r="J4" s="106" t="s">
        <v>152</v>
      </c>
      <c r="K4" s="106" t="s">
        <v>158</v>
      </c>
      <c r="L4" s="106" t="s">
        <v>166</v>
      </c>
      <c r="M4" s="106" t="s">
        <v>18</v>
      </c>
      <c r="N4" s="39"/>
      <c r="O4" s="15" t="s">
        <v>153</v>
      </c>
      <c r="P4" s="37">
        <f>cost_per_kwh*1000000</f>
        <v>60000</v>
      </c>
    </row>
    <row r="5" spans="1:28" x14ac:dyDescent="0.3">
      <c r="A5" s="34">
        <v>1</v>
      </c>
      <c r="B5" s="103">
        <f ca="1">RANDBETWEEN($P$4*(1+$G$5),$P$4*(1+$G$15))</f>
        <v>57914</v>
      </c>
      <c r="C5" s="67">
        <f t="shared" ref="C5:C68" ca="1" si="0">_xlfn.XLOOKUP(B5,selling_price_range,Range,"",-1)</f>
        <v>-0.04</v>
      </c>
      <c r="D5" s="103">
        <f t="shared" ref="D5:D68" ca="1" si="1">RANDBETWEEN($P$5*(1+$G$5),$P$5*(1+$G$15))</f>
        <v>5668512</v>
      </c>
      <c r="E5" s="67">
        <f t="shared" ref="E5:E68" ca="1" si="2">_xlfn.XLOOKUP(D5,expenses_range,Range,"",-1)</f>
        <v>0.01</v>
      </c>
      <c r="F5" s="21"/>
      <c r="G5" s="107">
        <v>-0.05</v>
      </c>
      <c r="H5" s="108">
        <f t="shared" ref="H5:H15" si="3">$P$4*(1+$G5)</f>
        <v>57000</v>
      </c>
      <c r="I5" s="109">
        <f t="array" aca="1" ref="I5:I15" ca="1">FREQUENCY(C5:C1004,G5:G15)</f>
        <v>111</v>
      </c>
      <c r="J5" s="108">
        <f t="shared" ref="J5:J15" ca="1" si="4">$P$5*(1+$G5)</f>
        <v>5324352.5230399994</v>
      </c>
      <c r="K5" s="109">
        <f t="array" aca="1" ref="K5:K15" ca="1">FREQUENCY(E5:E1004,G5:G15)</f>
        <v>107</v>
      </c>
      <c r="L5" s="138">
        <f>spot_exchange_rate*(1+G5)</f>
        <v>1.5564800000000001</v>
      </c>
      <c r="M5" s="108">
        <f t="shared" ref="M5:M15" ca="1" si="5">NPV_Manat/L5</f>
        <v>4792996.717775397</v>
      </c>
      <c r="O5" s="10" t="s">
        <v>152</v>
      </c>
      <c r="P5" s="119">
        <f ca="1">expenses_example</f>
        <v>5604581.6031999998</v>
      </c>
    </row>
    <row r="6" spans="1:28" x14ac:dyDescent="0.3">
      <c r="A6" s="34">
        <v>2</v>
      </c>
      <c r="B6" s="103">
        <f t="shared" ref="B6:B69" ca="1" si="6">RANDBETWEEN($P$4*(1+$G$5),$P$4*(1+$G$15))</f>
        <v>57678</v>
      </c>
      <c r="C6" s="67">
        <f t="shared" ca="1" si="0"/>
        <v>-0.04</v>
      </c>
      <c r="D6" s="103">
        <f t="shared" ca="1" si="1"/>
        <v>5755635</v>
      </c>
      <c r="E6" s="67">
        <f t="shared" ca="1" si="2"/>
        <v>0.02</v>
      </c>
      <c r="F6" s="21"/>
      <c r="G6" s="21">
        <v>-0.04</v>
      </c>
      <c r="H6" s="37">
        <f t="shared" si="3"/>
        <v>57600</v>
      </c>
      <c r="I6">
        <f ca="1"/>
        <v>96</v>
      </c>
      <c r="J6" s="37">
        <f t="shared" ca="1" si="4"/>
        <v>5380398.3390719993</v>
      </c>
      <c r="K6">
        <f ca="1"/>
        <v>101</v>
      </c>
      <c r="L6" s="26">
        <f>spot_exchange_rate*(1+G6)</f>
        <v>1.572864</v>
      </c>
      <c r="M6" s="37">
        <f t="shared" ca="1" si="5"/>
        <v>4743069.6686319038</v>
      </c>
      <c r="O6" s="10"/>
      <c r="P6" s="37"/>
    </row>
    <row r="7" spans="1:28" x14ac:dyDescent="0.3">
      <c r="A7" s="34">
        <v>3</v>
      </c>
      <c r="B7" s="103">
        <f t="shared" ca="1" si="6"/>
        <v>61022</v>
      </c>
      <c r="C7" s="67">
        <f t="shared" ca="1" si="0"/>
        <v>0.01</v>
      </c>
      <c r="D7" s="103">
        <f t="shared" ca="1" si="1"/>
        <v>5491990</v>
      </c>
      <c r="E7" s="67">
        <f t="shared" ca="1" si="2"/>
        <v>-0.03</v>
      </c>
      <c r="F7" s="21"/>
      <c r="G7" s="110">
        <v>-0.03</v>
      </c>
      <c r="H7" s="111">
        <f t="shared" si="3"/>
        <v>58200</v>
      </c>
      <c r="I7" s="101">
        <f ca="1"/>
        <v>94</v>
      </c>
      <c r="J7" s="111">
        <f t="shared" ca="1" si="4"/>
        <v>5436444.1551039992</v>
      </c>
      <c r="K7" s="101">
        <f ca="1"/>
        <v>110</v>
      </c>
      <c r="L7" s="139">
        <f>spot_exchange_rate*(1+G7)</f>
        <v>1.589248</v>
      </c>
      <c r="M7" s="111">
        <f t="shared" ca="1" si="5"/>
        <v>4694172.0431820909</v>
      </c>
      <c r="O7" s="14"/>
      <c r="P7"/>
    </row>
    <row r="8" spans="1:28" x14ac:dyDescent="0.3">
      <c r="A8" s="34">
        <v>4</v>
      </c>
      <c r="B8" s="103">
        <f t="shared" ca="1" si="6"/>
        <v>57826</v>
      </c>
      <c r="C8" s="67">
        <f t="shared" ca="1" si="0"/>
        <v>-0.04</v>
      </c>
      <c r="D8" s="103">
        <f t="shared" ca="1" si="1"/>
        <v>5744916</v>
      </c>
      <c r="E8" s="67">
        <f t="shared" ca="1" si="2"/>
        <v>0.02</v>
      </c>
      <c r="F8" s="21"/>
      <c r="G8" s="21">
        <v>-0.02</v>
      </c>
      <c r="H8" s="37">
        <f t="shared" si="3"/>
        <v>58800</v>
      </c>
      <c r="I8">
        <f ca="1"/>
        <v>111</v>
      </c>
      <c r="J8" s="37">
        <f t="shared" ca="1" si="4"/>
        <v>5492489.971136</v>
      </c>
      <c r="K8">
        <f ca="1"/>
        <v>87</v>
      </c>
      <c r="L8" s="26">
        <f>spot_exchange_rate*(1+G8)</f>
        <v>1.6056319999999999</v>
      </c>
      <c r="M8" s="37">
        <f t="shared" ca="1" si="5"/>
        <v>4646272.3284557424</v>
      </c>
      <c r="O8" s="10"/>
      <c r="P8"/>
    </row>
    <row r="9" spans="1:28" x14ac:dyDescent="0.3">
      <c r="A9" s="34">
        <v>5</v>
      </c>
      <c r="B9" s="103">
        <f t="shared" ca="1" si="6"/>
        <v>58404</v>
      </c>
      <c r="C9" s="67">
        <f t="shared" ca="1" si="0"/>
        <v>-0.03</v>
      </c>
      <c r="D9" s="103">
        <f t="shared" ca="1" si="1"/>
        <v>5455766</v>
      </c>
      <c r="E9" s="67">
        <f t="shared" ca="1" si="2"/>
        <v>-0.03</v>
      </c>
      <c r="F9" s="21"/>
      <c r="G9" s="110">
        <v>-0.01</v>
      </c>
      <c r="H9" s="111">
        <f t="shared" si="3"/>
        <v>59400</v>
      </c>
      <c r="I9" s="101">
        <f ca="1"/>
        <v>97</v>
      </c>
      <c r="J9" s="111">
        <f t="shared" ca="1" si="4"/>
        <v>5548535.7871679999</v>
      </c>
      <c r="K9" s="101">
        <f ca="1"/>
        <v>105</v>
      </c>
      <c r="L9" s="139">
        <f>spot_exchange_rate*(1+G9)</f>
        <v>1.6220160000000001</v>
      </c>
      <c r="M9" s="111">
        <f t="shared" ca="1" si="5"/>
        <v>4599340.2847339669</v>
      </c>
      <c r="P9"/>
    </row>
    <row r="10" spans="1:28" x14ac:dyDescent="0.3">
      <c r="A10" s="34">
        <v>6</v>
      </c>
      <c r="B10" s="103">
        <f t="shared" ca="1" si="6"/>
        <v>61616</v>
      </c>
      <c r="C10" s="67">
        <f t="shared" ca="1" si="0"/>
        <v>0.02</v>
      </c>
      <c r="D10" s="103">
        <f t="shared" ca="1" si="1"/>
        <v>5514614</v>
      </c>
      <c r="E10" s="67">
        <f t="shared" ca="1" si="2"/>
        <v>-0.02</v>
      </c>
      <c r="F10" s="21"/>
      <c r="G10" s="21">
        <v>0</v>
      </c>
      <c r="H10" s="37">
        <f t="shared" si="3"/>
        <v>60000</v>
      </c>
      <c r="I10">
        <f ca="1"/>
        <v>96</v>
      </c>
      <c r="J10" s="37">
        <f t="shared" ca="1" si="4"/>
        <v>5604581.6031999998</v>
      </c>
      <c r="K10">
        <f ca="1"/>
        <v>91</v>
      </c>
      <c r="L10" s="26">
        <f>spot_exchange_rate</f>
        <v>1.6384000000000001</v>
      </c>
      <c r="M10" s="37">
        <f t="shared" ca="1" si="5"/>
        <v>4553346.8818866275</v>
      </c>
      <c r="P10"/>
    </row>
    <row r="11" spans="1:28" x14ac:dyDescent="0.3">
      <c r="A11" s="34">
        <v>7</v>
      </c>
      <c r="B11" s="103">
        <f t="shared" ca="1" si="6"/>
        <v>60937</v>
      </c>
      <c r="C11" s="67">
        <f t="shared" ca="1" si="0"/>
        <v>0.01</v>
      </c>
      <c r="D11" s="103">
        <f t="shared" ca="1" si="1"/>
        <v>5445327</v>
      </c>
      <c r="E11" s="67">
        <f t="shared" ca="1" si="2"/>
        <v>-0.03</v>
      </c>
      <c r="F11" s="21"/>
      <c r="G11" s="110">
        <v>0.01</v>
      </c>
      <c r="H11" s="111">
        <f t="shared" si="3"/>
        <v>60600</v>
      </c>
      <c r="I11" s="101">
        <f ca="1"/>
        <v>106</v>
      </c>
      <c r="J11" s="111">
        <f t="shared" ca="1" si="4"/>
        <v>5660627.4192319997</v>
      </c>
      <c r="K11" s="101">
        <f ca="1"/>
        <v>105</v>
      </c>
      <c r="L11" s="139">
        <f>spot_exchange_rate*(1+G11)</f>
        <v>1.654784</v>
      </c>
      <c r="M11" s="111">
        <f t="shared" ca="1" si="5"/>
        <v>4508264.2394917104</v>
      </c>
      <c r="P11"/>
    </row>
    <row r="12" spans="1:28" x14ac:dyDescent="0.3">
      <c r="A12" s="34">
        <v>8</v>
      </c>
      <c r="B12" s="103">
        <f t="shared" ca="1" si="6"/>
        <v>61149</v>
      </c>
      <c r="C12" s="67">
        <f t="shared" ca="1" si="0"/>
        <v>0.01</v>
      </c>
      <c r="D12" s="103">
        <f t="shared" ca="1" si="1"/>
        <v>5516682</v>
      </c>
      <c r="E12" s="67">
        <f t="shared" ca="1" si="2"/>
        <v>-0.02</v>
      </c>
      <c r="F12" s="21"/>
      <c r="G12" s="21">
        <v>0.02</v>
      </c>
      <c r="H12" s="37">
        <f t="shared" si="3"/>
        <v>61200</v>
      </c>
      <c r="I12">
        <f ca="1"/>
        <v>89</v>
      </c>
      <c r="J12" s="37">
        <f t="shared" ca="1" si="4"/>
        <v>5716673.2352639996</v>
      </c>
      <c r="K12">
        <f ca="1"/>
        <v>100</v>
      </c>
      <c r="L12" s="26">
        <f>spot_exchange_rate*(1+G12)</f>
        <v>1.6711680000000002</v>
      </c>
      <c r="M12" s="37">
        <f t="shared" ca="1" si="5"/>
        <v>4464065.5704770852</v>
      </c>
      <c r="P12"/>
    </row>
    <row r="13" spans="1:28" x14ac:dyDescent="0.3">
      <c r="A13" s="34">
        <v>9</v>
      </c>
      <c r="B13" s="103">
        <f t="shared" ca="1" si="6"/>
        <v>59045</v>
      </c>
      <c r="C13" s="67">
        <f t="shared" ca="1" si="0"/>
        <v>-0.02</v>
      </c>
      <c r="D13" s="103">
        <f t="shared" ca="1" si="1"/>
        <v>5501334</v>
      </c>
      <c r="E13" s="67">
        <f t="shared" ca="1" si="2"/>
        <v>-0.02</v>
      </c>
      <c r="F13" s="21"/>
      <c r="G13" s="110">
        <v>0.03</v>
      </c>
      <c r="H13" s="111">
        <f t="shared" si="3"/>
        <v>61800</v>
      </c>
      <c r="I13" s="101">
        <f ca="1"/>
        <v>111</v>
      </c>
      <c r="J13" s="111">
        <f t="shared" ca="1" si="4"/>
        <v>5772719.0512960004</v>
      </c>
      <c r="K13" s="101">
        <f ca="1"/>
        <v>89</v>
      </c>
      <c r="L13" s="139">
        <f>spot_exchange_rate*(1+G13)</f>
        <v>1.6875520000000002</v>
      </c>
      <c r="M13" s="111">
        <f t="shared" ca="1" si="5"/>
        <v>4420725.1280452693</v>
      </c>
      <c r="P13"/>
    </row>
    <row r="14" spans="1:28" x14ac:dyDescent="0.3">
      <c r="A14" s="34">
        <v>10</v>
      </c>
      <c r="B14" s="103">
        <f t="shared" ca="1" si="6"/>
        <v>58480</v>
      </c>
      <c r="C14" s="67">
        <f t="shared" ca="1" si="0"/>
        <v>-0.03</v>
      </c>
      <c r="D14" s="103">
        <f t="shared" ca="1" si="1"/>
        <v>5872705</v>
      </c>
      <c r="E14" s="67">
        <f t="shared" ca="1" si="2"/>
        <v>0.04</v>
      </c>
      <c r="F14" s="21"/>
      <c r="G14" s="21">
        <v>0.04</v>
      </c>
      <c r="H14" s="37">
        <f t="shared" si="3"/>
        <v>62400</v>
      </c>
      <c r="I14">
        <f ca="1"/>
        <v>89</v>
      </c>
      <c r="J14" s="37">
        <f t="shared" ca="1" si="4"/>
        <v>5828764.8673280003</v>
      </c>
      <c r="K14">
        <f ca="1"/>
        <v>105</v>
      </c>
      <c r="L14" s="26">
        <f>spot_exchange_rate*(1+G14)</f>
        <v>1.7039360000000001</v>
      </c>
      <c r="M14" s="37">
        <f t="shared" ca="1" si="5"/>
        <v>4378218.1556602186</v>
      </c>
      <c r="P14"/>
    </row>
    <row r="15" spans="1:28" x14ac:dyDescent="0.3">
      <c r="A15" s="34">
        <v>11</v>
      </c>
      <c r="B15" s="103">
        <f t="shared" ca="1" si="6"/>
        <v>61939</v>
      </c>
      <c r="C15" s="67">
        <f t="shared" ca="1" si="0"/>
        <v>0.03</v>
      </c>
      <c r="D15" s="103">
        <f t="shared" ca="1" si="1"/>
        <v>5852839</v>
      </c>
      <c r="E15" s="67">
        <f t="shared" ca="1" si="2"/>
        <v>0.04</v>
      </c>
      <c r="F15" s="21"/>
      <c r="G15" s="112">
        <v>0.05</v>
      </c>
      <c r="H15" s="113">
        <f t="shared" si="3"/>
        <v>63000</v>
      </c>
      <c r="I15" s="102">
        <f ca="1"/>
        <v>0</v>
      </c>
      <c r="J15" s="113">
        <f t="shared" ca="1" si="4"/>
        <v>5884810.6833600001</v>
      </c>
      <c r="K15" s="102">
        <f ca="1"/>
        <v>0</v>
      </c>
      <c r="L15" s="140">
        <f>spot_exchange_rate*(1+G15)</f>
        <v>1.7203200000000001</v>
      </c>
      <c r="M15" s="113">
        <f t="shared" ca="1" si="5"/>
        <v>4336520.839892026</v>
      </c>
      <c r="P15"/>
    </row>
    <row r="16" spans="1:28" x14ac:dyDescent="0.3">
      <c r="A16" s="34">
        <v>12</v>
      </c>
      <c r="B16" s="103">
        <f t="shared" ca="1" si="6"/>
        <v>61846</v>
      </c>
      <c r="C16" s="67">
        <f t="shared" ca="1" si="0"/>
        <v>0.03</v>
      </c>
      <c r="D16" s="103">
        <f t="shared" ca="1" si="1"/>
        <v>5717016</v>
      </c>
      <c r="E16" s="67">
        <f t="shared" ca="1" si="2"/>
        <v>0.02</v>
      </c>
      <c r="F16" s="21"/>
      <c r="P16"/>
    </row>
    <row r="17" spans="1:16" x14ac:dyDescent="0.3">
      <c r="A17" s="34">
        <v>13</v>
      </c>
      <c r="B17" s="103">
        <f t="shared" ca="1" si="6"/>
        <v>61829</v>
      </c>
      <c r="C17" s="67">
        <f t="shared" ca="1" si="0"/>
        <v>0.03</v>
      </c>
      <c r="D17" s="103">
        <f t="shared" ca="1" si="1"/>
        <v>5568690</v>
      </c>
      <c r="E17" s="67">
        <f t="shared" ca="1" si="2"/>
        <v>-0.01</v>
      </c>
      <c r="F17" s="21"/>
      <c r="P17"/>
    </row>
    <row r="18" spans="1:16" x14ac:dyDescent="0.3">
      <c r="A18" s="34">
        <v>14</v>
      </c>
      <c r="B18" s="103">
        <f t="shared" ca="1" si="6"/>
        <v>62495</v>
      </c>
      <c r="C18" s="67">
        <f t="shared" ca="1" si="0"/>
        <v>0.04</v>
      </c>
      <c r="D18" s="103">
        <f t="shared" ca="1" si="1"/>
        <v>5453207</v>
      </c>
      <c r="E18" s="67">
        <f t="shared" ca="1" si="2"/>
        <v>-0.03</v>
      </c>
      <c r="F18" s="21"/>
      <c r="P18"/>
    </row>
    <row r="19" spans="1:16" x14ac:dyDescent="0.3">
      <c r="A19" s="34">
        <v>15</v>
      </c>
      <c r="B19" s="103">
        <f t="shared" ca="1" si="6"/>
        <v>61109</v>
      </c>
      <c r="C19" s="67">
        <f t="shared" ca="1" si="0"/>
        <v>0.01</v>
      </c>
      <c r="D19" s="103">
        <f t="shared" ca="1" si="1"/>
        <v>5532260</v>
      </c>
      <c r="E19" s="67">
        <f t="shared" ca="1" si="2"/>
        <v>-0.02</v>
      </c>
      <c r="F19" s="21"/>
      <c r="P19"/>
    </row>
    <row r="20" spans="1:16" x14ac:dyDescent="0.3">
      <c r="A20" s="34">
        <v>16</v>
      </c>
      <c r="B20" s="103">
        <f t="shared" ca="1" si="6"/>
        <v>60862</v>
      </c>
      <c r="C20" s="67">
        <f t="shared" ca="1" si="0"/>
        <v>0.01</v>
      </c>
      <c r="D20" s="103">
        <f t="shared" ca="1" si="1"/>
        <v>5534143</v>
      </c>
      <c r="E20" s="67">
        <f t="shared" ca="1" si="2"/>
        <v>-0.02</v>
      </c>
      <c r="F20" s="21"/>
      <c r="P20"/>
    </row>
    <row r="21" spans="1:16" x14ac:dyDescent="0.3">
      <c r="A21" s="34">
        <v>17</v>
      </c>
      <c r="B21" s="103">
        <f t="shared" ca="1" si="6"/>
        <v>62855</v>
      </c>
      <c r="C21" s="67">
        <f t="shared" ca="1" si="0"/>
        <v>0.04</v>
      </c>
      <c r="D21" s="103">
        <f t="shared" ca="1" si="1"/>
        <v>5673970</v>
      </c>
      <c r="E21" s="67">
        <f t="shared" ca="1" si="2"/>
        <v>0.01</v>
      </c>
      <c r="F21" s="21"/>
      <c r="P21"/>
    </row>
    <row r="22" spans="1:16" x14ac:dyDescent="0.3">
      <c r="A22" s="34">
        <v>18</v>
      </c>
      <c r="B22" s="103">
        <f t="shared" ca="1" si="6"/>
        <v>59751</v>
      </c>
      <c r="C22" s="67">
        <f t="shared" ca="1" si="0"/>
        <v>-0.01</v>
      </c>
      <c r="D22" s="103">
        <f t="shared" ca="1" si="1"/>
        <v>5523087</v>
      </c>
      <c r="E22" s="67">
        <f t="shared" ca="1" si="2"/>
        <v>-0.02</v>
      </c>
      <c r="F22" s="21"/>
      <c r="P22"/>
    </row>
    <row r="23" spans="1:16" x14ac:dyDescent="0.3">
      <c r="A23" s="34">
        <v>19</v>
      </c>
      <c r="B23" s="103">
        <f t="shared" ca="1" si="6"/>
        <v>58010</v>
      </c>
      <c r="C23" s="67">
        <f t="shared" ca="1" si="0"/>
        <v>-0.04</v>
      </c>
      <c r="D23" s="103">
        <f t="shared" ca="1" si="1"/>
        <v>5568588</v>
      </c>
      <c r="E23" s="67">
        <f t="shared" ca="1" si="2"/>
        <v>-0.01</v>
      </c>
      <c r="F23" s="21"/>
      <c r="P23"/>
    </row>
    <row r="24" spans="1:16" x14ac:dyDescent="0.3">
      <c r="A24" s="34">
        <v>20</v>
      </c>
      <c r="B24" s="103">
        <f t="shared" ca="1" si="6"/>
        <v>61716</v>
      </c>
      <c r="C24" s="67">
        <f t="shared" ca="1" si="0"/>
        <v>0.02</v>
      </c>
      <c r="D24" s="103">
        <f t="shared" ca="1" si="1"/>
        <v>5682786</v>
      </c>
      <c r="E24" s="67">
        <f t="shared" ca="1" si="2"/>
        <v>0.01</v>
      </c>
      <c r="F24" s="21"/>
    </row>
    <row r="25" spans="1:16" x14ac:dyDescent="0.3">
      <c r="A25" s="34">
        <v>21</v>
      </c>
      <c r="B25" s="103">
        <f t="shared" ca="1" si="6"/>
        <v>57201</v>
      </c>
      <c r="C25" s="67">
        <f t="shared" ca="1" si="0"/>
        <v>-0.05</v>
      </c>
      <c r="D25" s="103">
        <f t="shared" ca="1" si="1"/>
        <v>5384545</v>
      </c>
      <c r="E25" s="67">
        <f t="shared" ca="1" si="2"/>
        <v>-0.04</v>
      </c>
      <c r="F25" s="21"/>
    </row>
    <row r="26" spans="1:16" x14ac:dyDescent="0.3">
      <c r="A26" s="34">
        <v>22</v>
      </c>
      <c r="B26" s="103">
        <f t="shared" ca="1" si="6"/>
        <v>62326</v>
      </c>
      <c r="C26" s="67">
        <f t="shared" ca="1" si="0"/>
        <v>0.03</v>
      </c>
      <c r="D26" s="103">
        <f t="shared" ca="1" si="1"/>
        <v>5533409</v>
      </c>
      <c r="E26" s="67">
        <f t="shared" ca="1" si="2"/>
        <v>-0.02</v>
      </c>
      <c r="F26" s="21"/>
    </row>
    <row r="27" spans="1:16" x14ac:dyDescent="0.3">
      <c r="A27" s="34">
        <v>23</v>
      </c>
      <c r="B27" s="103">
        <f t="shared" ca="1" si="6"/>
        <v>61918</v>
      </c>
      <c r="C27" s="67">
        <f t="shared" ca="1" si="0"/>
        <v>0.03</v>
      </c>
      <c r="D27" s="103">
        <f t="shared" ca="1" si="1"/>
        <v>5349671</v>
      </c>
      <c r="E27" s="67">
        <f t="shared" ca="1" si="2"/>
        <v>-0.05</v>
      </c>
      <c r="F27" s="21"/>
    </row>
    <row r="28" spans="1:16" x14ac:dyDescent="0.3">
      <c r="A28" s="34">
        <v>24</v>
      </c>
      <c r="B28" s="103">
        <f t="shared" ca="1" si="6"/>
        <v>59050</v>
      </c>
      <c r="C28" s="67">
        <f t="shared" ca="1" si="0"/>
        <v>-0.02</v>
      </c>
      <c r="D28" s="103">
        <f t="shared" ca="1" si="1"/>
        <v>5368136</v>
      </c>
      <c r="E28" s="67">
        <f t="shared" ca="1" si="2"/>
        <v>-0.05</v>
      </c>
      <c r="F28" s="21"/>
    </row>
    <row r="29" spans="1:16" x14ac:dyDescent="0.3">
      <c r="A29" s="34">
        <v>25</v>
      </c>
      <c r="B29" s="103">
        <f t="shared" ca="1" si="6"/>
        <v>60103</v>
      </c>
      <c r="C29" s="67">
        <f t="shared" ca="1" si="0"/>
        <v>0</v>
      </c>
      <c r="D29" s="103">
        <f t="shared" ca="1" si="1"/>
        <v>5725434</v>
      </c>
      <c r="E29" s="67">
        <f t="shared" ca="1" si="2"/>
        <v>0.02</v>
      </c>
      <c r="F29" s="21"/>
    </row>
    <row r="30" spans="1:16" x14ac:dyDescent="0.3">
      <c r="A30" s="34">
        <v>26</v>
      </c>
      <c r="B30" s="103">
        <f t="shared" ca="1" si="6"/>
        <v>57055</v>
      </c>
      <c r="C30" s="67">
        <f t="shared" ca="1" si="0"/>
        <v>-0.05</v>
      </c>
      <c r="D30" s="103">
        <f t="shared" ca="1" si="1"/>
        <v>5337034</v>
      </c>
      <c r="E30" s="67">
        <f t="shared" ca="1" si="2"/>
        <v>-0.05</v>
      </c>
      <c r="F30" s="21"/>
    </row>
    <row r="31" spans="1:16" x14ac:dyDescent="0.3">
      <c r="A31" s="34">
        <v>27</v>
      </c>
      <c r="B31" s="103">
        <f t="shared" ca="1" si="6"/>
        <v>60140</v>
      </c>
      <c r="C31" s="67">
        <f t="shared" ca="1" si="0"/>
        <v>0</v>
      </c>
      <c r="D31" s="103">
        <f t="shared" ca="1" si="1"/>
        <v>5549727</v>
      </c>
      <c r="E31" s="67">
        <f t="shared" ca="1" si="2"/>
        <v>-0.01</v>
      </c>
      <c r="F31" s="21"/>
    </row>
    <row r="32" spans="1:16" x14ac:dyDescent="0.3">
      <c r="A32" s="34">
        <v>28</v>
      </c>
      <c r="B32" s="103">
        <f t="shared" ca="1" si="6"/>
        <v>58352</v>
      </c>
      <c r="C32" s="67">
        <f t="shared" ca="1" si="0"/>
        <v>-0.03</v>
      </c>
      <c r="D32" s="103">
        <f t="shared" ca="1" si="1"/>
        <v>5565703</v>
      </c>
      <c r="E32" s="67">
        <f t="shared" ca="1" si="2"/>
        <v>-0.01</v>
      </c>
      <c r="F32" s="21"/>
    </row>
    <row r="33" spans="1:6" x14ac:dyDescent="0.3">
      <c r="A33" s="34">
        <v>29</v>
      </c>
      <c r="B33" s="103">
        <f t="shared" ca="1" si="6"/>
        <v>61512</v>
      </c>
      <c r="C33" s="67">
        <f t="shared" ca="1" si="0"/>
        <v>0.02</v>
      </c>
      <c r="D33" s="103">
        <f t="shared" ca="1" si="1"/>
        <v>5740372</v>
      </c>
      <c r="E33" s="67">
        <f t="shared" ca="1" si="2"/>
        <v>0.02</v>
      </c>
      <c r="F33" s="21"/>
    </row>
    <row r="34" spans="1:6" x14ac:dyDescent="0.3">
      <c r="A34" s="34">
        <v>30</v>
      </c>
      <c r="B34" s="103">
        <f t="shared" ca="1" si="6"/>
        <v>57190</v>
      </c>
      <c r="C34" s="67">
        <f t="shared" ca="1" si="0"/>
        <v>-0.05</v>
      </c>
      <c r="D34" s="103">
        <f t="shared" ca="1" si="1"/>
        <v>5528642</v>
      </c>
      <c r="E34" s="67">
        <f t="shared" ca="1" si="2"/>
        <v>-0.02</v>
      </c>
      <c r="F34" s="21"/>
    </row>
    <row r="35" spans="1:6" x14ac:dyDescent="0.3">
      <c r="A35" s="34">
        <v>31</v>
      </c>
      <c r="B35" s="103">
        <f t="shared" ca="1" si="6"/>
        <v>61644</v>
      </c>
      <c r="C35" s="67">
        <f t="shared" ca="1" si="0"/>
        <v>0.02</v>
      </c>
      <c r="D35" s="103">
        <f t="shared" ca="1" si="1"/>
        <v>5467574</v>
      </c>
      <c r="E35" s="67">
        <f t="shared" ca="1" si="2"/>
        <v>-0.03</v>
      </c>
      <c r="F35" s="21"/>
    </row>
    <row r="36" spans="1:6" x14ac:dyDescent="0.3">
      <c r="A36" s="34">
        <v>32</v>
      </c>
      <c r="B36" s="103">
        <f t="shared" ca="1" si="6"/>
        <v>61627</v>
      </c>
      <c r="C36" s="67">
        <f t="shared" ca="1" si="0"/>
        <v>0.02</v>
      </c>
      <c r="D36" s="103">
        <f t="shared" ca="1" si="1"/>
        <v>5833442</v>
      </c>
      <c r="E36" s="67">
        <f t="shared" ca="1" si="2"/>
        <v>0.04</v>
      </c>
      <c r="F36" s="21"/>
    </row>
    <row r="37" spans="1:6" x14ac:dyDescent="0.3">
      <c r="A37" s="34">
        <v>33</v>
      </c>
      <c r="B37" s="103">
        <f t="shared" ca="1" si="6"/>
        <v>59718</v>
      </c>
      <c r="C37" s="67">
        <f t="shared" ca="1" si="0"/>
        <v>-0.01</v>
      </c>
      <c r="D37" s="103">
        <f t="shared" ca="1" si="1"/>
        <v>5425987</v>
      </c>
      <c r="E37" s="67">
        <f t="shared" ca="1" si="2"/>
        <v>-0.04</v>
      </c>
      <c r="F37" s="21"/>
    </row>
    <row r="38" spans="1:6" x14ac:dyDescent="0.3">
      <c r="A38" s="34">
        <v>34</v>
      </c>
      <c r="B38" s="103">
        <f t="shared" ca="1" si="6"/>
        <v>62648</v>
      </c>
      <c r="C38" s="67">
        <f t="shared" ca="1" si="0"/>
        <v>0.04</v>
      </c>
      <c r="D38" s="103">
        <f t="shared" ca="1" si="1"/>
        <v>5830845</v>
      </c>
      <c r="E38" s="67">
        <f t="shared" ca="1" si="2"/>
        <v>0.04</v>
      </c>
      <c r="F38" s="21"/>
    </row>
    <row r="39" spans="1:6" x14ac:dyDescent="0.3">
      <c r="A39" s="34">
        <v>35</v>
      </c>
      <c r="B39" s="103">
        <f t="shared" ca="1" si="6"/>
        <v>58629</v>
      </c>
      <c r="C39" s="67">
        <f t="shared" ca="1" si="0"/>
        <v>-0.03</v>
      </c>
      <c r="D39" s="103">
        <f t="shared" ca="1" si="1"/>
        <v>5681033</v>
      </c>
      <c r="E39" s="67">
        <f t="shared" ca="1" si="2"/>
        <v>0.01</v>
      </c>
      <c r="F39" s="21"/>
    </row>
    <row r="40" spans="1:6" x14ac:dyDescent="0.3">
      <c r="A40" s="34">
        <v>36</v>
      </c>
      <c r="B40" s="103">
        <f t="shared" ca="1" si="6"/>
        <v>57502</v>
      </c>
      <c r="C40" s="67">
        <f t="shared" ca="1" si="0"/>
        <v>-0.05</v>
      </c>
      <c r="D40" s="103">
        <f t="shared" ca="1" si="1"/>
        <v>5649285</v>
      </c>
      <c r="E40" s="67">
        <f t="shared" ca="1" si="2"/>
        <v>0</v>
      </c>
      <c r="F40" s="21"/>
    </row>
    <row r="41" spans="1:6" x14ac:dyDescent="0.3">
      <c r="A41" s="34">
        <v>37</v>
      </c>
      <c r="B41" s="103">
        <f t="shared" ca="1" si="6"/>
        <v>62662</v>
      </c>
      <c r="C41" s="67">
        <f t="shared" ca="1" si="0"/>
        <v>0.04</v>
      </c>
      <c r="D41" s="103">
        <f t="shared" ca="1" si="1"/>
        <v>5766325</v>
      </c>
      <c r="E41" s="67">
        <f t="shared" ca="1" si="2"/>
        <v>0.02</v>
      </c>
      <c r="F41" s="21"/>
    </row>
    <row r="42" spans="1:6" x14ac:dyDescent="0.3">
      <c r="A42" s="34">
        <v>38</v>
      </c>
      <c r="B42" s="103">
        <f t="shared" ca="1" si="6"/>
        <v>58842</v>
      </c>
      <c r="C42" s="67">
        <f t="shared" ca="1" si="0"/>
        <v>-0.02</v>
      </c>
      <c r="D42" s="103">
        <f t="shared" ca="1" si="1"/>
        <v>5579608</v>
      </c>
      <c r="E42" s="67">
        <f t="shared" ca="1" si="2"/>
        <v>-0.01</v>
      </c>
      <c r="F42" s="21"/>
    </row>
    <row r="43" spans="1:6" x14ac:dyDescent="0.3">
      <c r="A43" s="34">
        <v>39</v>
      </c>
      <c r="B43" s="103">
        <f t="shared" ca="1" si="6"/>
        <v>57626</v>
      </c>
      <c r="C43" s="67">
        <f t="shared" ca="1" si="0"/>
        <v>-0.04</v>
      </c>
      <c r="D43" s="103">
        <f t="shared" ca="1" si="1"/>
        <v>5646958</v>
      </c>
      <c r="E43" s="67">
        <f t="shared" ca="1" si="2"/>
        <v>0</v>
      </c>
      <c r="F43" s="21"/>
    </row>
    <row r="44" spans="1:6" x14ac:dyDescent="0.3">
      <c r="A44" s="34">
        <v>40</v>
      </c>
      <c r="B44" s="103">
        <f t="shared" ca="1" si="6"/>
        <v>59725</v>
      </c>
      <c r="C44" s="67">
        <f t="shared" ca="1" si="0"/>
        <v>-0.01</v>
      </c>
      <c r="D44" s="103">
        <f t="shared" ca="1" si="1"/>
        <v>5368892</v>
      </c>
      <c r="E44" s="67">
        <f t="shared" ca="1" si="2"/>
        <v>-0.05</v>
      </c>
      <c r="F44" s="21"/>
    </row>
    <row r="45" spans="1:6" x14ac:dyDescent="0.3">
      <c r="A45" s="34">
        <v>41</v>
      </c>
      <c r="B45" s="103">
        <f t="shared" ca="1" si="6"/>
        <v>61937</v>
      </c>
      <c r="C45" s="67">
        <f t="shared" ca="1" si="0"/>
        <v>0.03</v>
      </c>
      <c r="D45" s="103">
        <f t="shared" ca="1" si="1"/>
        <v>5653895</v>
      </c>
      <c r="E45" s="67">
        <f t="shared" ca="1" si="2"/>
        <v>0</v>
      </c>
      <c r="F45" s="21"/>
    </row>
    <row r="46" spans="1:6" x14ac:dyDescent="0.3">
      <c r="A46" s="34">
        <v>42</v>
      </c>
      <c r="B46" s="103">
        <f t="shared" ca="1" si="6"/>
        <v>60117</v>
      </c>
      <c r="C46" s="67">
        <f t="shared" ca="1" si="0"/>
        <v>0</v>
      </c>
      <c r="D46" s="103">
        <f t="shared" ca="1" si="1"/>
        <v>5862845</v>
      </c>
      <c r="E46" s="67">
        <f t="shared" ca="1" si="2"/>
        <v>0.04</v>
      </c>
      <c r="F46" s="21"/>
    </row>
    <row r="47" spans="1:6" x14ac:dyDescent="0.3">
      <c r="A47" s="34">
        <v>43</v>
      </c>
      <c r="B47" s="103">
        <f t="shared" ca="1" si="6"/>
        <v>61989</v>
      </c>
      <c r="C47" s="67">
        <f t="shared" ca="1" si="0"/>
        <v>0.03</v>
      </c>
      <c r="D47" s="103">
        <f t="shared" ca="1" si="1"/>
        <v>5674473</v>
      </c>
      <c r="E47" s="67">
        <f t="shared" ca="1" si="2"/>
        <v>0.01</v>
      </c>
      <c r="F47" s="21"/>
    </row>
    <row r="48" spans="1:6" x14ac:dyDescent="0.3">
      <c r="A48" s="34">
        <v>44</v>
      </c>
      <c r="B48" s="103">
        <f t="shared" ca="1" si="6"/>
        <v>59999</v>
      </c>
      <c r="C48" s="67">
        <f t="shared" ca="1" si="0"/>
        <v>-0.01</v>
      </c>
      <c r="D48" s="103">
        <f t="shared" ca="1" si="1"/>
        <v>5718966</v>
      </c>
      <c r="E48" s="67">
        <f t="shared" ca="1" si="2"/>
        <v>0.02</v>
      </c>
      <c r="F48" s="21"/>
    </row>
    <row r="49" spans="1:6" x14ac:dyDescent="0.3">
      <c r="A49" s="34">
        <v>45</v>
      </c>
      <c r="B49" s="103">
        <f t="shared" ca="1" si="6"/>
        <v>58922</v>
      </c>
      <c r="C49" s="67">
        <f t="shared" ca="1" si="0"/>
        <v>-0.02</v>
      </c>
      <c r="D49" s="103">
        <f t="shared" ca="1" si="1"/>
        <v>5746596</v>
      </c>
      <c r="E49" s="67">
        <f t="shared" ca="1" si="2"/>
        <v>0.02</v>
      </c>
      <c r="F49" s="21"/>
    </row>
    <row r="50" spans="1:6" x14ac:dyDescent="0.3">
      <c r="A50" s="34">
        <v>46</v>
      </c>
      <c r="B50" s="103">
        <f t="shared" ca="1" si="6"/>
        <v>58685</v>
      </c>
      <c r="C50" s="67">
        <f t="shared" ca="1" si="0"/>
        <v>-0.03</v>
      </c>
      <c r="D50" s="103">
        <f t="shared" ca="1" si="1"/>
        <v>5598168</v>
      </c>
      <c r="E50" s="67">
        <f t="shared" ca="1" si="2"/>
        <v>-0.01</v>
      </c>
      <c r="F50" s="21"/>
    </row>
    <row r="51" spans="1:6" x14ac:dyDescent="0.3">
      <c r="A51" s="34">
        <v>47</v>
      </c>
      <c r="B51" s="103">
        <f t="shared" ca="1" si="6"/>
        <v>59005</v>
      </c>
      <c r="C51" s="67">
        <f t="shared" ca="1" si="0"/>
        <v>-0.02</v>
      </c>
      <c r="D51" s="103">
        <f t="shared" ca="1" si="1"/>
        <v>5583839</v>
      </c>
      <c r="E51" s="67">
        <f t="shared" ca="1" si="2"/>
        <v>-0.01</v>
      </c>
      <c r="F51" s="21"/>
    </row>
    <row r="52" spans="1:6" x14ac:dyDescent="0.3">
      <c r="A52" s="34">
        <v>48</v>
      </c>
      <c r="B52" s="103">
        <f t="shared" ca="1" si="6"/>
        <v>58234</v>
      </c>
      <c r="C52" s="67">
        <f t="shared" ca="1" si="0"/>
        <v>-0.03</v>
      </c>
      <c r="D52" s="103">
        <f t="shared" ca="1" si="1"/>
        <v>5548772</v>
      </c>
      <c r="E52" s="67">
        <f t="shared" ca="1" si="2"/>
        <v>-0.01</v>
      </c>
      <c r="F52" s="21"/>
    </row>
    <row r="53" spans="1:6" x14ac:dyDescent="0.3">
      <c r="A53" s="34">
        <v>49</v>
      </c>
      <c r="B53" s="103">
        <f t="shared" ca="1" si="6"/>
        <v>58192</v>
      </c>
      <c r="C53" s="67">
        <f t="shared" ca="1" si="0"/>
        <v>-0.04</v>
      </c>
      <c r="D53" s="103">
        <f t="shared" ca="1" si="1"/>
        <v>5863120</v>
      </c>
      <c r="E53" s="67">
        <f t="shared" ca="1" si="2"/>
        <v>0.04</v>
      </c>
      <c r="F53" s="21"/>
    </row>
    <row r="54" spans="1:6" x14ac:dyDescent="0.3">
      <c r="A54" s="34">
        <v>50</v>
      </c>
      <c r="B54" s="103">
        <f t="shared" ca="1" si="6"/>
        <v>59803</v>
      </c>
      <c r="C54" s="67">
        <f t="shared" ca="1" si="0"/>
        <v>-0.01</v>
      </c>
      <c r="D54" s="103">
        <f t="shared" ca="1" si="1"/>
        <v>5819081</v>
      </c>
      <c r="E54" s="67">
        <f t="shared" ca="1" si="2"/>
        <v>0.03</v>
      </c>
      <c r="F54" s="21"/>
    </row>
    <row r="55" spans="1:6" x14ac:dyDescent="0.3">
      <c r="A55" s="34">
        <v>51</v>
      </c>
      <c r="B55" s="103">
        <f t="shared" ca="1" si="6"/>
        <v>59056</v>
      </c>
      <c r="C55" s="67">
        <f t="shared" ca="1" si="0"/>
        <v>-0.02</v>
      </c>
      <c r="D55" s="103">
        <f t="shared" ca="1" si="1"/>
        <v>5715498</v>
      </c>
      <c r="E55" s="67">
        <f t="shared" ca="1" si="2"/>
        <v>0.01</v>
      </c>
      <c r="F55" s="21"/>
    </row>
    <row r="56" spans="1:6" x14ac:dyDescent="0.3">
      <c r="A56" s="34">
        <v>52</v>
      </c>
      <c r="B56" s="103">
        <f t="shared" ca="1" si="6"/>
        <v>59379</v>
      </c>
      <c r="C56" s="67">
        <f t="shared" ca="1" si="0"/>
        <v>-0.02</v>
      </c>
      <c r="D56" s="103">
        <f t="shared" ca="1" si="1"/>
        <v>5665158</v>
      </c>
      <c r="E56" s="67">
        <f t="shared" ca="1" si="2"/>
        <v>0.01</v>
      </c>
      <c r="F56" s="21"/>
    </row>
    <row r="57" spans="1:6" x14ac:dyDescent="0.3">
      <c r="A57" s="34">
        <v>53</v>
      </c>
      <c r="B57" s="103">
        <f t="shared" ca="1" si="6"/>
        <v>62135</v>
      </c>
      <c r="C57" s="67">
        <f t="shared" ca="1" si="0"/>
        <v>0.03</v>
      </c>
      <c r="D57" s="103">
        <f t="shared" ca="1" si="1"/>
        <v>5445362</v>
      </c>
      <c r="E57" s="67">
        <f t="shared" ca="1" si="2"/>
        <v>-0.03</v>
      </c>
      <c r="F57" s="21"/>
    </row>
    <row r="58" spans="1:6" x14ac:dyDescent="0.3">
      <c r="A58" s="34">
        <v>54</v>
      </c>
      <c r="B58" s="103">
        <f t="shared" ca="1" si="6"/>
        <v>58238</v>
      </c>
      <c r="C58" s="67">
        <f t="shared" ca="1" si="0"/>
        <v>-0.03</v>
      </c>
      <c r="D58" s="103">
        <f t="shared" ca="1" si="1"/>
        <v>5543313</v>
      </c>
      <c r="E58" s="67">
        <f t="shared" ca="1" si="2"/>
        <v>-0.02</v>
      </c>
      <c r="F58" s="21"/>
    </row>
    <row r="59" spans="1:6" x14ac:dyDescent="0.3">
      <c r="A59" s="34">
        <v>55</v>
      </c>
      <c r="B59" s="103">
        <f t="shared" ca="1" si="6"/>
        <v>57602</v>
      </c>
      <c r="C59" s="67">
        <f t="shared" ca="1" si="0"/>
        <v>-0.04</v>
      </c>
      <c r="D59" s="103">
        <f t="shared" ca="1" si="1"/>
        <v>5434306</v>
      </c>
      <c r="E59" s="67">
        <f t="shared" ca="1" si="2"/>
        <v>-0.04</v>
      </c>
      <c r="F59" s="21"/>
    </row>
    <row r="60" spans="1:6" x14ac:dyDescent="0.3">
      <c r="A60" s="34">
        <v>56</v>
      </c>
      <c r="B60" s="103">
        <f t="shared" ca="1" si="6"/>
        <v>58889</v>
      </c>
      <c r="C60" s="67">
        <f t="shared" ca="1" si="0"/>
        <v>-0.02</v>
      </c>
      <c r="D60" s="103">
        <f t="shared" ca="1" si="1"/>
        <v>5833514</v>
      </c>
      <c r="E60" s="67">
        <f t="shared" ca="1" si="2"/>
        <v>0.04</v>
      </c>
      <c r="F60" s="21"/>
    </row>
    <row r="61" spans="1:6" x14ac:dyDescent="0.3">
      <c r="A61" s="34">
        <v>57</v>
      </c>
      <c r="B61" s="103">
        <f t="shared" ca="1" si="6"/>
        <v>57819</v>
      </c>
      <c r="C61" s="67">
        <f t="shared" ca="1" si="0"/>
        <v>-0.04</v>
      </c>
      <c r="D61" s="103">
        <f t="shared" ca="1" si="1"/>
        <v>5622739</v>
      </c>
      <c r="E61" s="67">
        <f t="shared" ca="1" si="2"/>
        <v>0</v>
      </c>
      <c r="F61" s="21"/>
    </row>
    <row r="62" spans="1:6" x14ac:dyDescent="0.3">
      <c r="A62" s="34">
        <v>58</v>
      </c>
      <c r="B62" s="103">
        <f t="shared" ca="1" si="6"/>
        <v>60925</v>
      </c>
      <c r="C62" s="67">
        <f t="shared" ca="1" si="0"/>
        <v>0.01</v>
      </c>
      <c r="D62" s="103">
        <f t="shared" ca="1" si="1"/>
        <v>5580212</v>
      </c>
      <c r="E62" s="67">
        <f t="shared" ca="1" si="2"/>
        <v>-0.01</v>
      </c>
      <c r="F62" s="21"/>
    </row>
    <row r="63" spans="1:6" x14ac:dyDescent="0.3">
      <c r="A63" s="34">
        <v>59</v>
      </c>
      <c r="B63" s="103">
        <f t="shared" ca="1" si="6"/>
        <v>61273</v>
      </c>
      <c r="C63" s="67">
        <f t="shared" ca="1" si="0"/>
        <v>0.02</v>
      </c>
      <c r="D63" s="103">
        <f t="shared" ca="1" si="1"/>
        <v>5536807</v>
      </c>
      <c r="E63" s="67">
        <f t="shared" ca="1" si="2"/>
        <v>-0.02</v>
      </c>
      <c r="F63" s="21"/>
    </row>
    <row r="64" spans="1:6" x14ac:dyDescent="0.3">
      <c r="A64" s="34">
        <v>60</v>
      </c>
      <c r="B64" s="103">
        <f t="shared" ca="1" si="6"/>
        <v>57386</v>
      </c>
      <c r="C64" s="67">
        <f t="shared" ca="1" si="0"/>
        <v>-0.05</v>
      </c>
      <c r="D64" s="103">
        <f t="shared" ca="1" si="1"/>
        <v>5567807</v>
      </c>
      <c r="E64" s="67">
        <f t="shared" ca="1" si="2"/>
        <v>-0.01</v>
      </c>
      <c r="F64" s="21"/>
    </row>
    <row r="65" spans="1:6" x14ac:dyDescent="0.3">
      <c r="A65" s="34">
        <v>61</v>
      </c>
      <c r="B65" s="103">
        <f t="shared" ca="1" si="6"/>
        <v>58839</v>
      </c>
      <c r="C65" s="67">
        <f t="shared" ca="1" si="0"/>
        <v>-0.02</v>
      </c>
      <c r="D65" s="103">
        <f t="shared" ca="1" si="1"/>
        <v>5442129</v>
      </c>
      <c r="E65" s="67">
        <f t="shared" ca="1" si="2"/>
        <v>-0.03</v>
      </c>
      <c r="F65" s="21"/>
    </row>
    <row r="66" spans="1:6" x14ac:dyDescent="0.3">
      <c r="A66" s="34">
        <v>62</v>
      </c>
      <c r="B66" s="103">
        <f t="shared" ca="1" si="6"/>
        <v>61245</v>
      </c>
      <c r="C66" s="67">
        <f t="shared" ca="1" si="0"/>
        <v>0.02</v>
      </c>
      <c r="D66" s="103">
        <f t="shared" ca="1" si="1"/>
        <v>5693768</v>
      </c>
      <c r="E66" s="67">
        <f t="shared" ca="1" si="2"/>
        <v>0.01</v>
      </c>
      <c r="F66" s="21"/>
    </row>
    <row r="67" spans="1:6" x14ac:dyDescent="0.3">
      <c r="A67" s="34">
        <v>63</v>
      </c>
      <c r="B67" s="103">
        <f t="shared" ca="1" si="6"/>
        <v>61441</v>
      </c>
      <c r="C67" s="67">
        <f t="shared" ca="1" si="0"/>
        <v>0.02</v>
      </c>
      <c r="D67" s="103">
        <f t="shared" ca="1" si="1"/>
        <v>5708001</v>
      </c>
      <c r="E67" s="67">
        <f t="shared" ca="1" si="2"/>
        <v>0.01</v>
      </c>
      <c r="F67" s="21"/>
    </row>
    <row r="68" spans="1:6" x14ac:dyDescent="0.3">
      <c r="A68" s="34">
        <v>64</v>
      </c>
      <c r="B68" s="103">
        <f t="shared" ca="1" si="6"/>
        <v>62419</v>
      </c>
      <c r="C68" s="67">
        <f t="shared" ca="1" si="0"/>
        <v>0.04</v>
      </c>
      <c r="D68" s="103">
        <f t="shared" ca="1" si="1"/>
        <v>5598917</v>
      </c>
      <c r="E68" s="67">
        <f t="shared" ca="1" si="2"/>
        <v>-0.01</v>
      </c>
      <c r="F68" s="21"/>
    </row>
    <row r="69" spans="1:6" x14ac:dyDescent="0.3">
      <c r="A69" s="34">
        <v>65</v>
      </c>
      <c r="B69" s="103">
        <f t="shared" ca="1" si="6"/>
        <v>62532</v>
      </c>
      <c r="C69" s="67">
        <f t="shared" ref="C69:C132" ca="1" si="7">_xlfn.XLOOKUP(B69,selling_price_range,Range,"",-1)</f>
        <v>0.04</v>
      </c>
      <c r="D69" s="103">
        <f t="shared" ref="D69:D132" ca="1" si="8">RANDBETWEEN($P$5*(1+$G$5),$P$5*(1+$G$15))</f>
        <v>5520849</v>
      </c>
      <c r="E69" s="67">
        <f t="shared" ref="E69:E132" ca="1" si="9">_xlfn.XLOOKUP(D69,expenses_range,Range,"",-1)</f>
        <v>-0.02</v>
      </c>
      <c r="F69" s="21"/>
    </row>
    <row r="70" spans="1:6" x14ac:dyDescent="0.3">
      <c r="A70" s="34">
        <v>66</v>
      </c>
      <c r="B70" s="103">
        <f t="shared" ref="B70:B133" ca="1" si="10">RANDBETWEEN($P$4*(1+$G$5),$P$4*(1+$G$15))</f>
        <v>59647</v>
      </c>
      <c r="C70" s="67">
        <f t="shared" ca="1" si="7"/>
        <v>-0.01</v>
      </c>
      <c r="D70" s="103">
        <f t="shared" ca="1" si="8"/>
        <v>5625064</v>
      </c>
      <c r="E70" s="67">
        <f t="shared" ca="1" si="9"/>
        <v>0</v>
      </c>
      <c r="F70" s="21"/>
    </row>
    <row r="71" spans="1:6" x14ac:dyDescent="0.3">
      <c r="A71" s="34">
        <v>67</v>
      </c>
      <c r="B71" s="103">
        <f t="shared" ca="1" si="10"/>
        <v>61971</v>
      </c>
      <c r="C71" s="67">
        <f t="shared" ca="1" si="7"/>
        <v>0.03</v>
      </c>
      <c r="D71" s="103">
        <f t="shared" ca="1" si="8"/>
        <v>5793136</v>
      </c>
      <c r="E71" s="67">
        <f t="shared" ca="1" si="9"/>
        <v>0.03</v>
      </c>
      <c r="F71" s="21"/>
    </row>
    <row r="72" spans="1:6" x14ac:dyDescent="0.3">
      <c r="A72" s="34">
        <v>68</v>
      </c>
      <c r="B72" s="103">
        <f t="shared" ca="1" si="10"/>
        <v>57751</v>
      </c>
      <c r="C72" s="67">
        <f t="shared" ca="1" si="7"/>
        <v>-0.04</v>
      </c>
      <c r="D72" s="103">
        <f t="shared" ca="1" si="8"/>
        <v>5583105</v>
      </c>
      <c r="E72" s="67">
        <f t="shared" ca="1" si="9"/>
        <v>-0.01</v>
      </c>
      <c r="F72" s="21"/>
    </row>
    <row r="73" spans="1:6" x14ac:dyDescent="0.3">
      <c r="A73" s="34">
        <v>69</v>
      </c>
      <c r="B73" s="103">
        <f t="shared" ca="1" si="10"/>
        <v>59423</v>
      </c>
      <c r="C73" s="67">
        <f t="shared" ca="1" si="7"/>
        <v>-0.01</v>
      </c>
      <c r="D73" s="103">
        <f t="shared" ca="1" si="8"/>
        <v>5490303</v>
      </c>
      <c r="E73" s="67">
        <f t="shared" ca="1" si="9"/>
        <v>-0.03</v>
      </c>
      <c r="F73" s="21"/>
    </row>
    <row r="74" spans="1:6" x14ac:dyDescent="0.3">
      <c r="A74" s="34">
        <v>70</v>
      </c>
      <c r="B74" s="103">
        <f t="shared" ca="1" si="10"/>
        <v>60374</v>
      </c>
      <c r="C74" s="67">
        <f t="shared" ca="1" si="7"/>
        <v>0</v>
      </c>
      <c r="D74" s="103">
        <f t="shared" ca="1" si="8"/>
        <v>5537564</v>
      </c>
      <c r="E74" s="67">
        <f t="shared" ca="1" si="9"/>
        <v>-0.02</v>
      </c>
      <c r="F74" s="21"/>
    </row>
    <row r="75" spans="1:6" x14ac:dyDescent="0.3">
      <c r="A75" s="34">
        <v>71</v>
      </c>
      <c r="B75" s="103">
        <f t="shared" ca="1" si="10"/>
        <v>59973</v>
      </c>
      <c r="C75" s="67">
        <f t="shared" ca="1" si="7"/>
        <v>-0.01</v>
      </c>
      <c r="D75" s="103">
        <f t="shared" ca="1" si="8"/>
        <v>5400204</v>
      </c>
      <c r="E75" s="67">
        <f t="shared" ca="1" si="9"/>
        <v>-0.04</v>
      </c>
      <c r="F75" s="21"/>
    </row>
    <row r="76" spans="1:6" x14ac:dyDescent="0.3">
      <c r="A76" s="34">
        <v>72</v>
      </c>
      <c r="B76" s="103">
        <f t="shared" ca="1" si="10"/>
        <v>59644</v>
      </c>
      <c r="C76" s="67">
        <f t="shared" ca="1" si="7"/>
        <v>-0.01</v>
      </c>
      <c r="D76" s="103">
        <f t="shared" ca="1" si="8"/>
        <v>5362046</v>
      </c>
      <c r="E76" s="67">
        <f t="shared" ca="1" si="9"/>
        <v>-0.05</v>
      </c>
      <c r="F76" s="21"/>
    </row>
    <row r="77" spans="1:6" x14ac:dyDescent="0.3">
      <c r="A77" s="34">
        <v>73</v>
      </c>
      <c r="B77" s="103">
        <f t="shared" ca="1" si="10"/>
        <v>57195</v>
      </c>
      <c r="C77" s="67">
        <f t="shared" ca="1" si="7"/>
        <v>-0.05</v>
      </c>
      <c r="D77" s="103">
        <f t="shared" ca="1" si="8"/>
        <v>5721630</v>
      </c>
      <c r="E77" s="67">
        <f t="shared" ca="1" si="9"/>
        <v>0.02</v>
      </c>
      <c r="F77" s="21"/>
    </row>
    <row r="78" spans="1:6" x14ac:dyDescent="0.3">
      <c r="A78" s="34">
        <v>74</v>
      </c>
      <c r="B78" s="103">
        <f t="shared" ca="1" si="10"/>
        <v>58208</v>
      </c>
      <c r="C78" s="67">
        <f t="shared" ca="1" si="7"/>
        <v>-0.03</v>
      </c>
      <c r="D78" s="103">
        <f t="shared" ca="1" si="8"/>
        <v>5538456</v>
      </c>
      <c r="E78" s="67">
        <f t="shared" ca="1" si="9"/>
        <v>-0.02</v>
      </c>
      <c r="F78" s="21"/>
    </row>
    <row r="79" spans="1:6" x14ac:dyDescent="0.3">
      <c r="A79" s="34">
        <v>75</v>
      </c>
      <c r="B79" s="103">
        <f t="shared" ca="1" si="10"/>
        <v>57870</v>
      </c>
      <c r="C79" s="67">
        <f t="shared" ca="1" si="7"/>
        <v>-0.04</v>
      </c>
      <c r="D79" s="103">
        <f t="shared" ca="1" si="8"/>
        <v>5489755</v>
      </c>
      <c r="E79" s="67">
        <f t="shared" ca="1" si="9"/>
        <v>-0.03</v>
      </c>
      <c r="F79" s="21"/>
    </row>
    <row r="80" spans="1:6" x14ac:dyDescent="0.3">
      <c r="A80" s="34">
        <v>76</v>
      </c>
      <c r="B80" s="103">
        <f t="shared" ca="1" si="10"/>
        <v>61477</v>
      </c>
      <c r="C80" s="67">
        <f t="shared" ca="1" si="7"/>
        <v>0.02</v>
      </c>
      <c r="D80" s="103">
        <f t="shared" ca="1" si="8"/>
        <v>5389939</v>
      </c>
      <c r="E80" s="67">
        <f t="shared" ca="1" si="9"/>
        <v>-0.04</v>
      </c>
      <c r="F80" s="21"/>
    </row>
    <row r="81" spans="1:6" x14ac:dyDescent="0.3">
      <c r="A81" s="34">
        <v>77</v>
      </c>
      <c r="B81" s="103">
        <f t="shared" ca="1" si="10"/>
        <v>60387</v>
      </c>
      <c r="C81" s="67">
        <f t="shared" ca="1" si="7"/>
        <v>0</v>
      </c>
      <c r="D81" s="103">
        <f t="shared" ca="1" si="8"/>
        <v>5531377</v>
      </c>
      <c r="E81" s="67">
        <f t="shared" ca="1" si="9"/>
        <v>-0.02</v>
      </c>
      <c r="F81" s="21"/>
    </row>
    <row r="82" spans="1:6" x14ac:dyDescent="0.3">
      <c r="A82" s="34">
        <v>78</v>
      </c>
      <c r="B82" s="103">
        <f t="shared" ca="1" si="10"/>
        <v>58071</v>
      </c>
      <c r="C82" s="67">
        <f t="shared" ca="1" si="7"/>
        <v>-0.04</v>
      </c>
      <c r="D82" s="103">
        <f t="shared" ca="1" si="8"/>
        <v>5718603</v>
      </c>
      <c r="E82" s="67">
        <f t="shared" ca="1" si="9"/>
        <v>0.02</v>
      </c>
      <c r="F82" s="21"/>
    </row>
    <row r="83" spans="1:6" x14ac:dyDescent="0.3">
      <c r="A83" s="34">
        <v>79</v>
      </c>
      <c r="B83" s="103">
        <f t="shared" ca="1" si="10"/>
        <v>61934</v>
      </c>
      <c r="C83" s="67">
        <f t="shared" ca="1" si="7"/>
        <v>0.03</v>
      </c>
      <c r="D83" s="103">
        <f t="shared" ca="1" si="8"/>
        <v>5347489</v>
      </c>
      <c r="E83" s="67">
        <f t="shared" ca="1" si="9"/>
        <v>-0.05</v>
      </c>
      <c r="F83" s="21"/>
    </row>
    <row r="84" spans="1:6" x14ac:dyDescent="0.3">
      <c r="A84" s="34">
        <v>80</v>
      </c>
      <c r="B84" s="103">
        <f t="shared" ca="1" si="10"/>
        <v>61989</v>
      </c>
      <c r="C84" s="67">
        <f t="shared" ca="1" si="7"/>
        <v>0.03</v>
      </c>
      <c r="D84" s="103">
        <f t="shared" ca="1" si="8"/>
        <v>5845551</v>
      </c>
      <c r="E84" s="67">
        <f t="shared" ca="1" si="9"/>
        <v>0.04</v>
      </c>
      <c r="F84" s="21"/>
    </row>
    <row r="85" spans="1:6" x14ac:dyDescent="0.3">
      <c r="A85" s="34">
        <v>81</v>
      </c>
      <c r="B85" s="103">
        <f t="shared" ca="1" si="10"/>
        <v>62221</v>
      </c>
      <c r="C85" s="67">
        <f t="shared" ca="1" si="7"/>
        <v>0.03</v>
      </c>
      <c r="D85" s="103">
        <f t="shared" ca="1" si="8"/>
        <v>5789054</v>
      </c>
      <c r="E85" s="67">
        <f t="shared" ca="1" si="9"/>
        <v>0.03</v>
      </c>
      <c r="F85" s="21"/>
    </row>
    <row r="86" spans="1:6" x14ac:dyDescent="0.3">
      <c r="A86" s="34">
        <v>82</v>
      </c>
      <c r="B86" s="103">
        <f t="shared" ca="1" si="10"/>
        <v>57419</v>
      </c>
      <c r="C86" s="67">
        <f t="shared" ca="1" si="7"/>
        <v>-0.05</v>
      </c>
      <c r="D86" s="103">
        <f t="shared" ca="1" si="8"/>
        <v>5609492</v>
      </c>
      <c r="E86" s="67">
        <f t="shared" ca="1" si="9"/>
        <v>0</v>
      </c>
      <c r="F86" s="21"/>
    </row>
    <row r="87" spans="1:6" x14ac:dyDescent="0.3">
      <c r="A87" s="34">
        <v>83</v>
      </c>
      <c r="B87" s="103">
        <f t="shared" ca="1" si="10"/>
        <v>60451</v>
      </c>
      <c r="C87" s="67">
        <f t="shared" ca="1" si="7"/>
        <v>0</v>
      </c>
      <c r="D87" s="103">
        <f t="shared" ca="1" si="8"/>
        <v>5440864</v>
      </c>
      <c r="E87" s="67">
        <f t="shared" ca="1" si="9"/>
        <v>-0.03</v>
      </c>
      <c r="F87" s="21"/>
    </row>
    <row r="88" spans="1:6" x14ac:dyDescent="0.3">
      <c r="A88" s="34">
        <v>84</v>
      </c>
      <c r="B88" s="103">
        <f t="shared" ca="1" si="10"/>
        <v>57738</v>
      </c>
      <c r="C88" s="67">
        <f t="shared" ca="1" si="7"/>
        <v>-0.04</v>
      </c>
      <c r="D88" s="103">
        <f t="shared" ca="1" si="8"/>
        <v>5535534</v>
      </c>
      <c r="E88" s="67">
        <f t="shared" ca="1" si="9"/>
        <v>-0.02</v>
      </c>
      <c r="F88" s="21"/>
    </row>
    <row r="89" spans="1:6" x14ac:dyDescent="0.3">
      <c r="A89" s="34">
        <v>85</v>
      </c>
      <c r="B89" s="103">
        <f t="shared" ca="1" si="10"/>
        <v>57170</v>
      </c>
      <c r="C89" s="67">
        <f t="shared" ca="1" si="7"/>
        <v>-0.05</v>
      </c>
      <c r="D89" s="103">
        <f t="shared" ca="1" si="8"/>
        <v>5710596</v>
      </c>
      <c r="E89" s="67">
        <f t="shared" ca="1" si="9"/>
        <v>0.01</v>
      </c>
      <c r="F89" s="21"/>
    </row>
    <row r="90" spans="1:6" x14ac:dyDescent="0.3">
      <c r="A90" s="34">
        <v>86</v>
      </c>
      <c r="B90" s="103">
        <f t="shared" ca="1" si="10"/>
        <v>62579</v>
      </c>
      <c r="C90" s="67">
        <f t="shared" ca="1" si="7"/>
        <v>0.04</v>
      </c>
      <c r="D90" s="103">
        <f t="shared" ca="1" si="8"/>
        <v>5702529</v>
      </c>
      <c r="E90" s="67">
        <f t="shared" ca="1" si="9"/>
        <v>0.01</v>
      </c>
      <c r="F90" s="21"/>
    </row>
    <row r="91" spans="1:6" x14ac:dyDescent="0.3">
      <c r="A91" s="34">
        <v>87</v>
      </c>
      <c r="B91" s="103">
        <f t="shared" ca="1" si="10"/>
        <v>62199</v>
      </c>
      <c r="C91" s="67">
        <f t="shared" ca="1" si="7"/>
        <v>0.03</v>
      </c>
      <c r="D91" s="103">
        <f t="shared" ca="1" si="8"/>
        <v>5672360</v>
      </c>
      <c r="E91" s="67">
        <f t="shared" ca="1" si="9"/>
        <v>0.01</v>
      </c>
      <c r="F91" s="21"/>
    </row>
    <row r="92" spans="1:6" x14ac:dyDescent="0.3">
      <c r="A92" s="34">
        <v>88</v>
      </c>
      <c r="B92" s="103">
        <f t="shared" ca="1" si="10"/>
        <v>57273</v>
      </c>
      <c r="C92" s="67">
        <f t="shared" ca="1" si="7"/>
        <v>-0.05</v>
      </c>
      <c r="D92" s="103">
        <f t="shared" ca="1" si="8"/>
        <v>5657846</v>
      </c>
      <c r="E92" s="67">
        <f t="shared" ca="1" si="9"/>
        <v>0</v>
      </c>
      <c r="F92" s="21"/>
    </row>
    <row r="93" spans="1:6" x14ac:dyDescent="0.3">
      <c r="A93" s="34">
        <v>89</v>
      </c>
      <c r="B93" s="103">
        <f t="shared" ca="1" si="10"/>
        <v>62781</v>
      </c>
      <c r="C93" s="67">
        <f t="shared" ca="1" si="7"/>
        <v>0.04</v>
      </c>
      <c r="D93" s="103">
        <f t="shared" ca="1" si="8"/>
        <v>5369510</v>
      </c>
      <c r="E93" s="67">
        <f t="shared" ca="1" si="9"/>
        <v>-0.05</v>
      </c>
      <c r="F93" s="21"/>
    </row>
    <row r="94" spans="1:6" x14ac:dyDescent="0.3">
      <c r="A94" s="34">
        <v>90</v>
      </c>
      <c r="B94" s="103">
        <f t="shared" ca="1" si="10"/>
        <v>59356</v>
      </c>
      <c r="C94" s="67">
        <f t="shared" ca="1" si="7"/>
        <v>-0.02</v>
      </c>
      <c r="D94" s="103">
        <f t="shared" ca="1" si="8"/>
        <v>5675381</v>
      </c>
      <c r="E94" s="67">
        <f t="shared" ca="1" si="9"/>
        <v>0.01</v>
      </c>
      <c r="F94" s="21"/>
    </row>
    <row r="95" spans="1:6" x14ac:dyDescent="0.3">
      <c r="A95" s="34">
        <v>91</v>
      </c>
      <c r="B95" s="103">
        <f t="shared" ca="1" si="10"/>
        <v>62646</v>
      </c>
      <c r="C95" s="67">
        <f t="shared" ca="1" si="7"/>
        <v>0.04</v>
      </c>
      <c r="D95" s="103">
        <f t="shared" ca="1" si="8"/>
        <v>5647482</v>
      </c>
      <c r="E95" s="67">
        <f t="shared" ca="1" si="9"/>
        <v>0</v>
      </c>
      <c r="F95" s="21"/>
    </row>
    <row r="96" spans="1:6" x14ac:dyDescent="0.3">
      <c r="A96" s="34">
        <v>92</v>
      </c>
      <c r="B96" s="103">
        <f t="shared" ca="1" si="10"/>
        <v>60024</v>
      </c>
      <c r="C96" s="67">
        <f t="shared" ca="1" si="7"/>
        <v>0</v>
      </c>
      <c r="D96" s="103">
        <f t="shared" ca="1" si="8"/>
        <v>5352850</v>
      </c>
      <c r="E96" s="67">
        <f t="shared" ca="1" si="9"/>
        <v>-0.05</v>
      </c>
      <c r="F96" s="21"/>
    </row>
    <row r="97" spans="1:6" x14ac:dyDescent="0.3">
      <c r="A97" s="34">
        <v>93</v>
      </c>
      <c r="B97" s="103">
        <f t="shared" ca="1" si="10"/>
        <v>58591</v>
      </c>
      <c r="C97" s="67">
        <f t="shared" ca="1" si="7"/>
        <v>-0.03</v>
      </c>
      <c r="D97" s="103">
        <f t="shared" ca="1" si="8"/>
        <v>5433250</v>
      </c>
      <c r="E97" s="67">
        <f t="shared" ca="1" si="9"/>
        <v>-0.04</v>
      </c>
      <c r="F97" s="21"/>
    </row>
    <row r="98" spans="1:6" x14ac:dyDescent="0.3">
      <c r="A98" s="34">
        <v>94</v>
      </c>
      <c r="B98" s="103">
        <f t="shared" ca="1" si="10"/>
        <v>62075</v>
      </c>
      <c r="C98" s="67">
        <f t="shared" ca="1" si="7"/>
        <v>0.03</v>
      </c>
      <c r="D98" s="103">
        <f t="shared" ca="1" si="8"/>
        <v>5491512</v>
      </c>
      <c r="E98" s="67">
        <f t="shared" ca="1" si="9"/>
        <v>-0.03</v>
      </c>
      <c r="F98" s="21"/>
    </row>
    <row r="99" spans="1:6" x14ac:dyDescent="0.3">
      <c r="A99" s="34">
        <v>95</v>
      </c>
      <c r="B99" s="103">
        <f t="shared" ca="1" si="10"/>
        <v>60556</v>
      </c>
      <c r="C99" s="67">
        <f t="shared" ca="1" si="7"/>
        <v>0</v>
      </c>
      <c r="D99" s="103">
        <f t="shared" ca="1" si="8"/>
        <v>5721067</v>
      </c>
      <c r="E99" s="67">
        <f t="shared" ca="1" si="9"/>
        <v>0.02</v>
      </c>
      <c r="F99" s="21"/>
    </row>
    <row r="100" spans="1:6" x14ac:dyDescent="0.3">
      <c r="A100" s="34">
        <v>96</v>
      </c>
      <c r="B100" s="103">
        <f t="shared" ca="1" si="10"/>
        <v>58925</v>
      </c>
      <c r="C100" s="67">
        <f t="shared" ca="1" si="7"/>
        <v>-0.02</v>
      </c>
      <c r="D100" s="103">
        <f t="shared" ca="1" si="8"/>
        <v>5498683</v>
      </c>
      <c r="E100" s="67">
        <f t="shared" ca="1" si="9"/>
        <v>-0.02</v>
      </c>
      <c r="F100" s="21"/>
    </row>
    <row r="101" spans="1:6" x14ac:dyDescent="0.3">
      <c r="A101" s="34">
        <v>97</v>
      </c>
      <c r="B101" s="103">
        <f t="shared" ca="1" si="10"/>
        <v>62249</v>
      </c>
      <c r="C101" s="67">
        <f t="shared" ca="1" si="7"/>
        <v>0.03</v>
      </c>
      <c r="D101" s="103">
        <f t="shared" ca="1" si="8"/>
        <v>5816479</v>
      </c>
      <c r="E101" s="67">
        <f t="shared" ca="1" si="9"/>
        <v>0.03</v>
      </c>
      <c r="F101" s="21"/>
    </row>
    <row r="102" spans="1:6" x14ac:dyDescent="0.3">
      <c r="A102" s="34">
        <v>98</v>
      </c>
      <c r="B102" s="103">
        <f t="shared" ca="1" si="10"/>
        <v>62136</v>
      </c>
      <c r="C102" s="67">
        <f t="shared" ca="1" si="7"/>
        <v>0.03</v>
      </c>
      <c r="D102" s="103">
        <f t="shared" ca="1" si="8"/>
        <v>5818274</v>
      </c>
      <c r="E102" s="67">
        <f t="shared" ca="1" si="9"/>
        <v>0.03</v>
      </c>
      <c r="F102" s="21"/>
    </row>
    <row r="103" spans="1:6" x14ac:dyDescent="0.3">
      <c r="A103" s="34">
        <v>99</v>
      </c>
      <c r="B103" s="103">
        <f t="shared" ca="1" si="10"/>
        <v>62354</v>
      </c>
      <c r="C103" s="67">
        <f t="shared" ca="1" si="7"/>
        <v>0.03</v>
      </c>
      <c r="D103" s="103">
        <f t="shared" ca="1" si="8"/>
        <v>5625091</v>
      </c>
      <c r="E103" s="67">
        <f t="shared" ca="1" si="9"/>
        <v>0</v>
      </c>
      <c r="F103" s="21"/>
    </row>
    <row r="104" spans="1:6" x14ac:dyDescent="0.3">
      <c r="A104" s="34">
        <v>100</v>
      </c>
      <c r="B104" s="103">
        <f t="shared" ca="1" si="10"/>
        <v>61720</v>
      </c>
      <c r="C104" s="67">
        <f t="shared" ca="1" si="7"/>
        <v>0.02</v>
      </c>
      <c r="D104" s="103">
        <f t="shared" ca="1" si="8"/>
        <v>5428872</v>
      </c>
      <c r="E104" s="67">
        <f t="shared" ca="1" si="9"/>
        <v>-0.04</v>
      </c>
      <c r="F104" s="21"/>
    </row>
    <row r="105" spans="1:6" x14ac:dyDescent="0.3">
      <c r="A105" s="34">
        <v>101</v>
      </c>
      <c r="B105" s="103">
        <f t="shared" ca="1" si="10"/>
        <v>58929</v>
      </c>
      <c r="C105" s="67">
        <f t="shared" ca="1" si="7"/>
        <v>-0.02</v>
      </c>
      <c r="D105" s="103">
        <f t="shared" ca="1" si="8"/>
        <v>5799297</v>
      </c>
      <c r="E105" s="67">
        <f t="shared" ca="1" si="9"/>
        <v>0.03</v>
      </c>
      <c r="F105" s="21"/>
    </row>
    <row r="106" spans="1:6" x14ac:dyDescent="0.3">
      <c r="A106" s="34">
        <v>102</v>
      </c>
      <c r="B106" s="103">
        <f t="shared" ca="1" si="10"/>
        <v>62636</v>
      </c>
      <c r="C106" s="67">
        <f t="shared" ca="1" si="7"/>
        <v>0.04</v>
      </c>
      <c r="D106" s="103">
        <f t="shared" ca="1" si="8"/>
        <v>5760277</v>
      </c>
      <c r="E106" s="67">
        <f t="shared" ca="1" si="9"/>
        <v>0.02</v>
      </c>
      <c r="F106" s="21"/>
    </row>
    <row r="107" spans="1:6" x14ac:dyDescent="0.3">
      <c r="A107" s="34">
        <v>103</v>
      </c>
      <c r="B107" s="103">
        <f t="shared" ca="1" si="10"/>
        <v>62503</v>
      </c>
      <c r="C107" s="67">
        <f t="shared" ca="1" si="7"/>
        <v>0.04</v>
      </c>
      <c r="D107" s="103">
        <f t="shared" ca="1" si="8"/>
        <v>5418034</v>
      </c>
      <c r="E107" s="67">
        <f t="shared" ca="1" si="9"/>
        <v>-0.04</v>
      </c>
      <c r="F107" s="21"/>
    </row>
    <row r="108" spans="1:6" x14ac:dyDescent="0.3">
      <c r="A108" s="34">
        <v>104</v>
      </c>
      <c r="B108" s="103">
        <f t="shared" ca="1" si="10"/>
        <v>57868</v>
      </c>
      <c r="C108" s="67">
        <f t="shared" ca="1" si="7"/>
        <v>-0.04</v>
      </c>
      <c r="D108" s="103">
        <f t="shared" ca="1" si="8"/>
        <v>5427061</v>
      </c>
      <c r="E108" s="67">
        <f t="shared" ca="1" si="9"/>
        <v>-0.04</v>
      </c>
      <c r="F108" s="21"/>
    </row>
    <row r="109" spans="1:6" x14ac:dyDescent="0.3">
      <c r="A109" s="34">
        <v>105</v>
      </c>
      <c r="B109" s="103">
        <f t="shared" ca="1" si="10"/>
        <v>60183</v>
      </c>
      <c r="C109" s="67">
        <f t="shared" ca="1" si="7"/>
        <v>0</v>
      </c>
      <c r="D109" s="103">
        <f t="shared" ca="1" si="8"/>
        <v>5646019</v>
      </c>
      <c r="E109" s="67">
        <f t="shared" ca="1" si="9"/>
        <v>0</v>
      </c>
      <c r="F109" s="21"/>
    </row>
    <row r="110" spans="1:6" x14ac:dyDescent="0.3">
      <c r="A110" s="34">
        <v>106</v>
      </c>
      <c r="B110" s="103">
        <f t="shared" ca="1" si="10"/>
        <v>57456</v>
      </c>
      <c r="C110" s="67">
        <f t="shared" ca="1" si="7"/>
        <v>-0.05</v>
      </c>
      <c r="D110" s="103">
        <f t="shared" ca="1" si="8"/>
        <v>5462761</v>
      </c>
      <c r="E110" s="67">
        <f t="shared" ca="1" si="9"/>
        <v>-0.03</v>
      </c>
      <c r="F110" s="21"/>
    </row>
    <row r="111" spans="1:6" x14ac:dyDescent="0.3">
      <c r="A111" s="34">
        <v>107</v>
      </c>
      <c r="B111" s="103">
        <f t="shared" ca="1" si="10"/>
        <v>60226</v>
      </c>
      <c r="C111" s="67">
        <f t="shared" ca="1" si="7"/>
        <v>0</v>
      </c>
      <c r="D111" s="103">
        <f t="shared" ca="1" si="8"/>
        <v>5581378</v>
      </c>
      <c r="E111" s="67">
        <f t="shared" ca="1" si="9"/>
        <v>-0.01</v>
      </c>
      <c r="F111" s="21"/>
    </row>
    <row r="112" spans="1:6" x14ac:dyDescent="0.3">
      <c r="A112" s="34">
        <v>108</v>
      </c>
      <c r="B112" s="103">
        <f t="shared" ca="1" si="10"/>
        <v>62690</v>
      </c>
      <c r="C112" s="67">
        <f t="shared" ca="1" si="7"/>
        <v>0.04</v>
      </c>
      <c r="D112" s="103">
        <f t="shared" ca="1" si="8"/>
        <v>5657379</v>
      </c>
      <c r="E112" s="67">
        <f t="shared" ca="1" si="9"/>
        <v>0</v>
      </c>
      <c r="F112" s="21"/>
    </row>
    <row r="113" spans="1:6" x14ac:dyDescent="0.3">
      <c r="A113" s="34">
        <v>109</v>
      </c>
      <c r="B113" s="103">
        <f t="shared" ca="1" si="10"/>
        <v>57126</v>
      </c>
      <c r="C113" s="67">
        <f t="shared" ca="1" si="7"/>
        <v>-0.05</v>
      </c>
      <c r="D113" s="103">
        <f t="shared" ca="1" si="8"/>
        <v>5834880</v>
      </c>
      <c r="E113" s="67">
        <f t="shared" ca="1" si="9"/>
        <v>0.04</v>
      </c>
      <c r="F113" s="21"/>
    </row>
    <row r="114" spans="1:6" x14ac:dyDescent="0.3">
      <c r="A114" s="34">
        <v>110</v>
      </c>
      <c r="B114" s="103">
        <f t="shared" ca="1" si="10"/>
        <v>62054</v>
      </c>
      <c r="C114" s="67">
        <f t="shared" ca="1" si="7"/>
        <v>0.03</v>
      </c>
      <c r="D114" s="103">
        <f t="shared" ca="1" si="8"/>
        <v>5560123</v>
      </c>
      <c r="E114" s="67">
        <f t="shared" ca="1" si="9"/>
        <v>-0.01</v>
      </c>
      <c r="F114" s="21"/>
    </row>
    <row r="115" spans="1:6" x14ac:dyDescent="0.3">
      <c r="A115" s="34">
        <v>111</v>
      </c>
      <c r="B115" s="103">
        <f t="shared" ca="1" si="10"/>
        <v>59935</v>
      </c>
      <c r="C115" s="67">
        <f t="shared" ca="1" si="7"/>
        <v>-0.01</v>
      </c>
      <c r="D115" s="103">
        <f t="shared" ca="1" si="8"/>
        <v>5494912</v>
      </c>
      <c r="E115" s="67">
        <f t="shared" ca="1" si="9"/>
        <v>-0.02</v>
      </c>
      <c r="F115" s="21"/>
    </row>
    <row r="116" spans="1:6" x14ac:dyDescent="0.3">
      <c r="A116" s="34">
        <v>112</v>
      </c>
      <c r="B116" s="103">
        <f t="shared" ca="1" si="10"/>
        <v>62794</v>
      </c>
      <c r="C116" s="67">
        <f t="shared" ca="1" si="7"/>
        <v>0.04</v>
      </c>
      <c r="D116" s="103">
        <f t="shared" ca="1" si="8"/>
        <v>5809378</v>
      </c>
      <c r="E116" s="67">
        <f t="shared" ca="1" si="9"/>
        <v>0.03</v>
      </c>
      <c r="F116" s="21"/>
    </row>
    <row r="117" spans="1:6" x14ac:dyDescent="0.3">
      <c r="A117" s="34">
        <v>113</v>
      </c>
      <c r="B117" s="103">
        <f t="shared" ca="1" si="10"/>
        <v>58597</v>
      </c>
      <c r="C117" s="67">
        <f t="shared" ca="1" si="7"/>
        <v>-0.03</v>
      </c>
      <c r="D117" s="103">
        <f t="shared" ca="1" si="8"/>
        <v>5347003</v>
      </c>
      <c r="E117" s="67">
        <f t="shared" ca="1" si="9"/>
        <v>-0.05</v>
      </c>
      <c r="F117" s="21"/>
    </row>
    <row r="118" spans="1:6" x14ac:dyDescent="0.3">
      <c r="A118" s="34">
        <v>114</v>
      </c>
      <c r="B118" s="103">
        <f t="shared" ca="1" si="10"/>
        <v>62905</v>
      </c>
      <c r="C118" s="67">
        <f t="shared" ca="1" si="7"/>
        <v>0.04</v>
      </c>
      <c r="D118" s="103">
        <f t="shared" ca="1" si="8"/>
        <v>5563714</v>
      </c>
      <c r="E118" s="67">
        <f t="shared" ca="1" si="9"/>
        <v>-0.01</v>
      </c>
      <c r="F118" s="21"/>
    </row>
    <row r="119" spans="1:6" x14ac:dyDescent="0.3">
      <c r="A119" s="34">
        <v>115</v>
      </c>
      <c r="B119" s="103">
        <f t="shared" ca="1" si="10"/>
        <v>61040</v>
      </c>
      <c r="C119" s="67">
        <f t="shared" ca="1" si="7"/>
        <v>0.01</v>
      </c>
      <c r="D119" s="103">
        <f t="shared" ca="1" si="8"/>
        <v>5831684</v>
      </c>
      <c r="E119" s="67">
        <f t="shared" ca="1" si="9"/>
        <v>0.04</v>
      </c>
      <c r="F119" s="21"/>
    </row>
    <row r="120" spans="1:6" x14ac:dyDescent="0.3">
      <c r="A120" s="34">
        <v>116</v>
      </c>
      <c r="B120" s="103">
        <f t="shared" ca="1" si="10"/>
        <v>59252</v>
      </c>
      <c r="C120" s="67">
        <f t="shared" ca="1" si="7"/>
        <v>-0.02</v>
      </c>
      <c r="D120" s="103">
        <f t="shared" ca="1" si="8"/>
        <v>5753453</v>
      </c>
      <c r="E120" s="67">
        <f t="shared" ca="1" si="9"/>
        <v>0.02</v>
      </c>
      <c r="F120" s="21"/>
    </row>
    <row r="121" spans="1:6" x14ac:dyDescent="0.3">
      <c r="A121" s="34">
        <v>117</v>
      </c>
      <c r="B121" s="103">
        <f t="shared" ca="1" si="10"/>
        <v>60774</v>
      </c>
      <c r="C121" s="67">
        <f t="shared" ca="1" si="7"/>
        <v>0.01</v>
      </c>
      <c r="D121" s="103">
        <f t="shared" ca="1" si="8"/>
        <v>5470725</v>
      </c>
      <c r="E121" s="67">
        <f t="shared" ca="1" si="9"/>
        <v>-0.03</v>
      </c>
      <c r="F121" s="21"/>
    </row>
    <row r="122" spans="1:6" x14ac:dyDescent="0.3">
      <c r="A122" s="34">
        <v>118</v>
      </c>
      <c r="B122" s="103">
        <f t="shared" ca="1" si="10"/>
        <v>59859</v>
      </c>
      <c r="C122" s="67">
        <f t="shared" ca="1" si="7"/>
        <v>-0.01</v>
      </c>
      <c r="D122" s="103">
        <f t="shared" ca="1" si="8"/>
        <v>5363038</v>
      </c>
      <c r="E122" s="67">
        <f t="shared" ca="1" si="9"/>
        <v>-0.05</v>
      </c>
      <c r="F122" s="21"/>
    </row>
    <row r="123" spans="1:6" x14ac:dyDescent="0.3">
      <c r="A123" s="34">
        <v>119</v>
      </c>
      <c r="B123" s="103">
        <f t="shared" ca="1" si="10"/>
        <v>57574</v>
      </c>
      <c r="C123" s="67">
        <f t="shared" ca="1" si="7"/>
        <v>-0.05</v>
      </c>
      <c r="D123" s="103">
        <f t="shared" ca="1" si="8"/>
        <v>5501064</v>
      </c>
      <c r="E123" s="67">
        <f t="shared" ca="1" si="9"/>
        <v>-0.02</v>
      </c>
      <c r="F123" s="21"/>
    </row>
    <row r="124" spans="1:6" x14ac:dyDescent="0.3">
      <c r="A124" s="34">
        <v>120</v>
      </c>
      <c r="B124" s="103">
        <f t="shared" ca="1" si="10"/>
        <v>61998</v>
      </c>
      <c r="C124" s="67">
        <f t="shared" ca="1" si="7"/>
        <v>0.03</v>
      </c>
      <c r="D124" s="103">
        <f t="shared" ca="1" si="8"/>
        <v>5821989</v>
      </c>
      <c r="E124" s="67">
        <f t="shared" ca="1" si="9"/>
        <v>0.03</v>
      </c>
      <c r="F124" s="21"/>
    </row>
    <row r="125" spans="1:6" x14ac:dyDescent="0.3">
      <c r="A125" s="34">
        <v>121</v>
      </c>
      <c r="B125" s="103">
        <f t="shared" ca="1" si="10"/>
        <v>58589</v>
      </c>
      <c r="C125" s="67">
        <f t="shared" ca="1" si="7"/>
        <v>-0.03</v>
      </c>
      <c r="D125" s="103">
        <f t="shared" ca="1" si="8"/>
        <v>5677885</v>
      </c>
      <c r="E125" s="67">
        <f t="shared" ca="1" si="9"/>
        <v>0.01</v>
      </c>
      <c r="F125" s="21"/>
    </row>
    <row r="126" spans="1:6" x14ac:dyDescent="0.3">
      <c r="A126" s="34">
        <v>122</v>
      </c>
      <c r="B126" s="103">
        <f t="shared" ca="1" si="10"/>
        <v>59602</v>
      </c>
      <c r="C126" s="67">
        <f t="shared" ca="1" si="7"/>
        <v>-0.01</v>
      </c>
      <c r="D126" s="103">
        <f t="shared" ca="1" si="8"/>
        <v>5478277</v>
      </c>
      <c r="E126" s="67">
        <f t="shared" ca="1" si="9"/>
        <v>-0.03</v>
      </c>
      <c r="F126" s="21"/>
    </row>
    <row r="127" spans="1:6" x14ac:dyDescent="0.3">
      <c r="A127" s="34">
        <v>123</v>
      </c>
      <c r="B127" s="103">
        <f t="shared" ca="1" si="10"/>
        <v>60847</v>
      </c>
      <c r="C127" s="67">
        <f t="shared" ca="1" si="7"/>
        <v>0.01</v>
      </c>
      <c r="D127" s="103">
        <f t="shared" ca="1" si="8"/>
        <v>5713716</v>
      </c>
      <c r="E127" s="67">
        <f t="shared" ca="1" si="9"/>
        <v>0.01</v>
      </c>
      <c r="F127" s="21"/>
    </row>
    <row r="128" spans="1:6" x14ac:dyDescent="0.3">
      <c r="A128" s="34">
        <v>124</v>
      </c>
      <c r="B128" s="103">
        <f t="shared" ca="1" si="10"/>
        <v>60775</v>
      </c>
      <c r="C128" s="67">
        <f t="shared" ca="1" si="7"/>
        <v>0.01</v>
      </c>
      <c r="D128" s="103">
        <f t="shared" ca="1" si="8"/>
        <v>5426520</v>
      </c>
      <c r="E128" s="67">
        <f t="shared" ca="1" si="9"/>
        <v>-0.04</v>
      </c>
      <c r="F128" s="21"/>
    </row>
    <row r="129" spans="1:6" x14ac:dyDescent="0.3">
      <c r="A129" s="34">
        <v>125</v>
      </c>
      <c r="B129" s="103">
        <f t="shared" ca="1" si="10"/>
        <v>58410</v>
      </c>
      <c r="C129" s="67">
        <f t="shared" ca="1" si="7"/>
        <v>-0.03</v>
      </c>
      <c r="D129" s="103">
        <f t="shared" ca="1" si="8"/>
        <v>5716368</v>
      </c>
      <c r="E129" s="67">
        <f t="shared" ca="1" si="9"/>
        <v>0.01</v>
      </c>
      <c r="F129" s="21"/>
    </row>
    <row r="130" spans="1:6" x14ac:dyDescent="0.3">
      <c r="A130" s="34">
        <v>126</v>
      </c>
      <c r="B130" s="103">
        <f t="shared" ca="1" si="10"/>
        <v>58997</v>
      </c>
      <c r="C130" s="67">
        <f t="shared" ca="1" si="7"/>
        <v>-0.02</v>
      </c>
      <c r="D130" s="103">
        <f t="shared" ca="1" si="8"/>
        <v>5342464</v>
      </c>
      <c r="E130" s="67">
        <f t="shared" ca="1" si="9"/>
        <v>-0.05</v>
      </c>
      <c r="F130" s="21"/>
    </row>
    <row r="131" spans="1:6" x14ac:dyDescent="0.3">
      <c r="A131" s="34">
        <v>127</v>
      </c>
      <c r="B131" s="103">
        <f t="shared" ca="1" si="10"/>
        <v>60558</v>
      </c>
      <c r="C131" s="67">
        <f t="shared" ca="1" si="7"/>
        <v>0</v>
      </c>
      <c r="D131" s="103">
        <f t="shared" ca="1" si="8"/>
        <v>5773268</v>
      </c>
      <c r="E131" s="67">
        <f t="shared" ca="1" si="9"/>
        <v>0.03</v>
      </c>
      <c r="F131" s="21"/>
    </row>
    <row r="132" spans="1:6" x14ac:dyDescent="0.3">
      <c r="A132" s="34">
        <v>128</v>
      </c>
      <c r="B132" s="103">
        <f t="shared" ca="1" si="10"/>
        <v>59707</v>
      </c>
      <c r="C132" s="67">
        <f t="shared" ca="1" si="7"/>
        <v>-0.01</v>
      </c>
      <c r="D132" s="103">
        <f t="shared" ca="1" si="8"/>
        <v>5327610</v>
      </c>
      <c r="E132" s="67">
        <f t="shared" ca="1" si="9"/>
        <v>-0.05</v>
      </c>
      <c r="F132" s="21"/>
    </row>
    <row r="133" spans="1:6" x14ac:dyDescent="0.3">
      <c r="A133" s="34">
        <v>129</v>
      </c>
      <c r="B133" s="103">
        <f t="shared" ca="1" si="10"/>
        <v>58154</v>
      </c>
      <c r="C133" s="67">
        <f t="shared" ref="C133:C196" ca="1" si="11">_xlfn.XLOOKUP(B133,selling_price_range,Range,"",-1)</f>
        <v>-0.04</v>
      </c>
      <c r="D133" s="103">
        <f t="shared" ref="D133:D196" ca="1" si="12">RANDBETWEEN($P$5*(1+$G$5),$P$5*(1+$G$15))</f>
        <v>5461185</v>
      </c>
      <c r="E133" s="67">
        <f t="shared" ref="E133:E196" ca="1" si="13">_xlfn.XLOOKUP(D133,expenses_range,Range,"",-1)</f>
        <v>-0.03</v>
      </c>
      <c r="F133" s="21"/>
    </row>
    <row r="134" spans="1:6" x14ac:dyDescent="0.3">
      <c r="A134" s="34">
        <v>130</v>
      </c>
      <c r="B134" s="103">
        <f t="shared" ref="B134:B197" ca="1" si="14">RANDBETWEEN($P$4*(1+$G$5),$P$4*(1+$G$15))</f>
        <v>61925</v>
      </c>
      <c r="C134" s="67">
        <f t="shared" ca="1" si="11"/>
        <v>0.03</v>
      </c>
      <c r="D134" s="103">
        <f t="shared" ca="1" si="12"/>
        <v>5857773</v>
      </c>
      <c r="E134" s="67">
        <f t="shared" ca="1" si="13"/>
        <v>0.04</v>
      </c>
      <c r="F134" s="21"/>
    </row>
    <row r="135" spans="1:6" x14ac:dyDescent="0.3">
      <c r="A135" s="34">
        <v>131</v>
      </c>
      <c r="B135" s="103">
        <f t="shared" ca="1" si="14"/>
        <v>58395</v>
      </c>
      <c r="C135" s="67">
        <f t="shared" ca="1" si="11"/>
        <v>-0.03</v>
      </c>
      <c r="D135" s="103">
        <f t="shared" ca="1" si="12"/>
        <v>5570898</v>
      </c>
      <c r="E135" s="67">
        <f t="shared" ca="1" si="13"/>
        <v>-0.01</v>
      </c>
      <c r="F135" s="21"/>
    </row>
    <row r="136" spans="1:6" x14ac:dyDescent="0.3">
      <c r="A136" s="34">
        <v>132</v>
      </c>
      <c r="B136" s="103">
        <f t="shared" ca="1" si="14"/>
        <v>57203</v>
      </c>
      <c r="C136" s="67">
        <f t="shared" ca="1" si="11"/>
        <v>-0.05</v>
      </c>
      <c r="D136" s="103">
        <f t="shared" ca="1" si="12"/>
        <v>5711549</v>
      </c>
      <c r="E136" s="67">
        <f t="shared" ca="1" si="13"/>
        <v>0.01</v>
      </c>
      <c r="F136" s="21"/>
    </row>
    <row r="137" spans="1:6" x14ac:dyDescent="0.3">
      <c r="A137" s="34">
        <v>133</v>
      </c>
      <c r="B137" s="103">
        <f t="shared" ca="1" si="14"/>
        <v>61576</v>
      </c>
      <c r="C137" s="67">
        <f t="shared" ca="1" si="11"/>
        <v>0.02</v>
      </c>
      <c r="D137" s="103">
        <f t="shared" ca="1" si="12"/>
        <v>5856832</v>
      </c>
      <c r="E137" s="67">
        <f t="shared" ca="1" si="13"/>
        <v>0.04</v>
      </c>
      <c r="F137" s="21"/>
    </row>
    <row r="138" spans="1:6" x14ac:dyDescent="0.3">
      <c r="A138" s="34">
        <v>134</v>
      </c>
      <c r="B138" s="103">
        <f t="shared" ca="1" si="14"/>
        <v>58863</v>
      </c>
      <c r="C138" s="67">
        <f t="shared" ca="1" si="11"/>
        <v>-0.02</v>
      </c>
      <c r="D138" s="103">
        <f t="shared" ca="1" si="12"/>
        <v>5523438</v>
      </c>
      <c r="E138" s="67">
        <f t="shared" ca="1" si="13"/>
        <v>-0.02</v>
      </c>
      <c r="F138" s="21"/>
    </row>
    <row r="139" spans="1:6" x14ac:dyDescent="0.3">
      <c r="A139" s="34">
        <v>135</v>
      </c>
      <c r="B139" s="103">
        <f t="shared" ca="1" si="14"/>
        <v>60670</v>
      </c>
      <c r="C139" s="67">
        <f t="shared" ca="1" si="11"/>
        <v>0.01</v>
      </c>
      <c r="D139" s="103">
        <f t="shared" ca="1" si="12"/>
        <v>5830284</v>
      </c>
      <c r="E139" s="67">
        <f t="shared" ca="1" si="13"/>
        <v>0.04</v>
      </c>
      <c r="F139" s="21"/>
    </row>
    <row r="140" spans="1:6" x14ac:dyDescent="0.3">
      <c r="A140" s="34">
        <v>136</v>
      </c>
      <c r="B140" s="103">
        <f t="shared" ca="1" si="14"/>
        <v>57142</v>
      </c>
      <c r="C140" s="67">
        <f t="shared" ca="1" si="11"/>
        <v>-0.05</v>
      </c>
      <c r="D140" s="103">
        <f t="shared" ca="1" si="12"/>
        <v>5689939</v>
      </c>
      <c r="E140" s="67">
        <f t="shared" ca="1" si="13"/>
        <v>0.01</v>
      </c>
      <c r="F140" s="21"/>
    </row>
    <row r="141" spans="1:6" x14ac:dyDescent="0.3">
      <c r="A141" s="34">
        <v>137</v>
      </c>
      <c r="B141" s="103">
        <f t="shared" ca="1" si="14"/>
        <v>57886</v>
      </c>
      <c r="C141" s="67">
        <f t="shared" ca="1" si="11"/>
        <v>-0.04</v>
      </c>
      <c r="D141" s="103">
        <f t="shared" ca="1" si="12"/>
        <v>5445342</v>
      </c>
      <c r="E141" s="67">
        <f t="shared" ca="1" si="13"/>
        <v>-0.03</v>
      </c>
      <c r="F141" s="21"/>
    </row>
    <row r="142" spans="1:6" x14ac:dyDescent="0.3">
      <c r="A142" s="34">
        <v>138</v>
      </c>
      <c r="B142" s="103">
        <f t="shared" ca="1" si="14"/>
        <v>61397</v>
      </c>
      <c r="C142" s="67">
        <f t="shared" ca="1" si="11"/>
        <v>0.02</v>
      </c>
      <c r="D142" s="103">
        <f t="shared" ca="1" si="12"/>
        <v>5637158</v>
      </c>
      <c r="E142" s="67">
        <f t="shared" ca="1" si="13"/>
        <v>0</v>
      </c>
      <c r="F142" s="21"/>
    </row>
    <row r="143" spans="1:6" x14ac:dyDescent="0.3">
      <c r="A143" s="34">
        <v>139</v>
      </c>
      <c r="B143" s="103">
        <f t="shared" ca="1" si="14"/>
        <v>59476</v>
      </c>
      <c r="C143" s="67">
        <f t="shared" ca="1" si="11"/>
        <v>-0.01</v>
      </c>
      <c r="D143" s="103">
        <f t="shared" ca="1" si="12"/>
        <v>5334012</v>
      </c>
      <c r="E143" s="67">
        <f t="shared" ca="1" si="13"/>
        <v>-0.05</v>
      </c>
      <c r="F143" s="21"/>
    </row>
    <row r="144" spans="1:6" x14ac:dyDescent="0.3">
      <c r="A144" s="34">
        <v>140</v>
      </c>
      <c r="B144" s="103">
        <f t="shared" ca="1" si="14"/>
        <v>57988</v>
      </c>
      <c r="C144" s="67">
        <f t="shared" ca="1" si="11"/>
        <v>-0.04</v>
      </c>
      <c r="D144" s="103">
        <f t="shared" ca="1" si="12"/>
        <v>5821619</v>
      </c>
      <c r="E144" s="67">
        <f t="shared" ca="1" si="13"/>
        <v>0.03</v>
      </c>
      <c r="F144" s="21"/>
    </row>
    <row r="145" spans="1:6" x14ac:dyDescent="0.3">
      <c r="A145" s="34">
        <v>141</v>
      </c>
      <c r="B145" s="103">
        <f t="shared" ca="1" si="14"/>
        <v>60510</v>
      </c>
      <c r="C145" s="67">
        <f t="shared" ca="1" si="11"/>
        <v>0</v>
      </c>
      <c r="D145" s="103">
        <f t="shared" ca="1" si="12"/>
        <v>5593963</v>
      </c>
      <c r="E145" s="67">
        <f t="shared" ca="1" si="13"/>
        <v>-0.01</v>
      </c>
      <c r="F145" s="21"/>
    </row>
    <row r="146" spans="1:6" x14ac:dyDescent="0.3">
      <c r="A146" s="34">
        <v>142</v>
      </c>
      <c r="B146" s="103">
        <f t="shared" ca="1" si="14"/>
        <v>59308</v>
      </c>
      <c r="C146" s="67">
        <f t="shared" ca="1" si="11"/>
        <v>-0.02</v>
      </c>
      <c r="D146" s="103">
        <f t="shared" ca="1" si="12"/>
        <v>5645862</v>
      </c>
      <c r="E146" s="67">
        <f t="shared" ca="1" si="13"/>
        <v>0</v>
      </c>
      <c r="F146" s="21"/>
    </row>
    <row r="147" spans="1:6" x14ac:dyDescent="0.3">
      <c r="A147" s="34">
        <v>143</v>
      </c>
      <c r="B147" s="103">
        <f t="shared" ca="1" si="14"/>
        <v>61597</v>
      </c>
      <c r="C147" s="67">
        <f t="shared" ca="1" si="11"/>
        <v>0.02</v>
      </c>
      <c r="D147" s="103">
        <f t="shared" ca="1" si="12"/>
        <v>5866871</v>
      </c>
      <c r="E147" s="67">
        <f t="shared" ca="1" si="13"/>
        <v>0.04</v>
      </c>
      <c r="F147" s="21"/>
    </row>
    <row r="148" spans="1:6" x14ac:dyDescent="0.3">
      <c r="A148" s="34">
        <v>144</v>
      </c>
      <c r="B148" s="103">
        <f t="shared" ca="1" si="14"/>
        <v>62569</v>
      </c>
      <c r="C148" s="67">
        <f t="shared" ca="1" si="11"/>
        <v>0.04</v>
      </c>
      <c r="D148" s="103">
        <f t="shared" ca="1" si="12"/>
        <v>5783151</v>
      </c>
      <c r="E148" s="67">
        <f t="shared" ca="1" si="13"/>
        <v>0.03</v>
      </c>
      <c r="F148" s="21"/>
    </row>
    <row r="149" spans="1:6" x14ac:dyDescent="0.3">
      <c r="A149" s="34">
        <v>145</v>
      </c>
      <c r="B149" s="103">
        <f t="shared" ca="1" si="14"/>
        <v>61614</v>
      </c>
      <c r="C149" s="67">
        <f t="shared" ca="1" si="11"/>
        <v>0.02</v>
      </c>
      <c r="D149" s="103">
        <f t="shared" ca="1" si="12"/>
        <v>5579493</v>
      </c>
      <c r="E149" s="67">
        <f t="shared" ca="1" si="13"/>
        <v>-0.01</v>
      </c>
      <c r="F149" s="21"/>
    </row>
    <row r="150" spans="1:6" x14ac:dyDescent="0.3">
      <c r="A150" s="34">
        <v>146</v>
      </c>
      <c r="B150" s="103">
        <f t="shared" ca="1" si="14"/>
        <v>58815</v>
      </c>
      <c r="C150" s="67">
        <f t="shared" ca="1" si="11"/>
        <v>-0.02</v>
      </c>
      <c r="D150" s="103">
        <f t="shared" ca="1" si="12"/>
        <v>5495224</v>
      </c>
      <c r="E150" s="67">
        <f t="shared" ca="1" si="13"/>
        <v>-0.02</v>
      </c>
      <c r="F150" s="21"/>
    </row>
    <row r="151" spans="1:6" x14ac:dyDescent="0.3">
      <c r="A151" s="34">
        <v>147</v>
      </c>
      <c r="B151" s="103">
        <f t="shared" ca="1" si="14"/>
        <v>58928</v>
      </c>
      <c r="C151" s="67">
        <f t="shared" ca="1" si="11"/>
        <v>-0.02</v>
      </c>
      <c r="D151" s="103">
        <f t="shared" ca="1" si="12"/>
        <v>5578162</v>
      </c>
      <c r="E151" s="67">
        <f t="shared" ca="1" si="13"/>
        <v>-0.01</v>
      </c>
      <c r="F151" s="21"/>
    </row>
    <row r="152" spans="1:6" x14ac:dyDescent="0.3">
      <c r="A152" s="34">
        <v>148</v>
      </c>
      <c r="B152" s="103">
        <f t="shared" ca="1" si="14"/>
        <v>58908</v>
      </c>
      <c r="C152" s="67">
        <f t="shared" ca="1" si="11"/>
        <v>-0.02</v>
      </c>
      <c r="D152" s="103">
        <f t="shared" ca="1" si="12"/>
        <v>5398943</v>
      </c>
      <c r="E152" s="67">
        <f t="shared" ca="1" si="13"/>
        <v>-0.04</v>
      </c>
      <c r="F152" s="21"/>
    </row>
    <row r="153" spans="1:6" x14ac:dyDescent="0.3">
      <c r="A153" s="34">
        <v>149</v>
      </c>
      <c r="B153" s="103">
        <f t="shared" ca="1" si="14"/>
        <v>58343</v>
      </c>
      <c r="C153" s="67">
        <f t="shared" ca="1" si="11"/>
        <v>-0.03</v>
      </c>
      <c r="D153" s="103">
        <f t="shared" ca="1" si="12"/>
        <v>5399893</v>
      </c>
      <c r="E153" s="67">
        <f t="shared" ca="1" si="13"/>
        <v>-0.04</v>
      </c>
      <c r="F153" s="21"/>
    </row>
    <row r="154" spans="1:6" x14ac:dyDescent="0.3">
      <c r="A154" s="34">
        <v>150</v>
      </c>
      <c r="B154" s="103">
        <f t="shared" ca="1" si="14"/>
        <v>62632</v>
      </c>
      <c r="C154" s="67">
        <f t="shared" ca="1" si="11"/>
        <v>0.04</v>
      </c>
      <c r="D154" s="103">
        <f t="shared" ca="1" si="12"/>
        <v>5844078</v>
      </c>
      <c r="E154" s="67">
        <f t="shared" ca="1" si="13"/>
        <v>0.04</v>
      </c>
      <c r="F154" s="21"/>
    </row>
    <row r="155" spans="1:6" x14ac:dyDescent="0.3">
      <c r="A155" s="34">
        <v>151</v>
      </c>
      <c r="B155" s="103">
        <f t="shared" ca="1" si="14"/>
        <v>62785</v>
      </c>
      <c r="C155" s="67">
        <f t="shared" ca="1" si="11"/>
        <v>0.04</v>
      </c>
      <c r="D155" s="103">
        <f t="shared" ca="1" si="12"/>
        <v>5481546</v>
      </c>
      <c r="E155" s="67">
        <f t="shared" ca="1" si="13"/>
        <v>-0.03</v>
      </c>
      <c r="F155" s="21"/>
    </row>
    <row r="156" spans="1:6" x14ac:dyDescent="0.3">
      <c r="A156" s="34">
        <v>152</v>
      </c>
      <c r="B156" s="103">
        <f t="shared" ca="1" si="14"/>
        <v>61761</v>
      </c>
      <c r="C156" s="67">
        <f t="shared" ca="1" si="11"/>
        <v>0.02</v>
      </c>
      <c r="D156" s="103">
        <f t="shared" ca="1" si="12"/>
        <v>5721822</v>
      </c>
      <c r="E156" s="67">
        <f t="shared" ca="1" si="13"/>
        <v>0.02</v>
      </c>
      <c r="F156" s="21"/>
    </row>
    <row r="157" spans="1:6" x14ac:dyDescent="0.3">
      <c r="A157" s="34">
        <v>153</v>
      </c>
      <c r="B157" s="103">
        <f t="shared" ca="1" si="14"/>
        <v>62574</v>
      </c>
      <c r="C157" s="67">
        <f t="shared" ca="1" si="11"/>
        <v>0.04</v>
      </c>
      <c r="D157" s="103">
        <f t="shared" ca="1" si="12"/>
        <v>5423258</v>
      </c>
      <c r="E157" s="67">
        <f t="shared" ca="1" si="13"/>
        <v>-0.04</v>
      </c>
      <c r="F157" s="21"/>
    </row>
    <row r="158" spans="1:6" x14ac:dyDescent="0.3">
      <c r="A158" s="34">
        <v>154</v>
      </c>
      <c r="B158" s="103">
        <f t="shared" ca="1" si="14"/>
        <v>58732</v>
      </c>
      <c r="C158" s="67">
        <f t="shared" ca="1" si="11"/>
        <v>-0.03</v>
      </c>
      <c r="D158" s="103">
        <f t="shared" ca="1" si="12"/>
        <v>5822226</v>
      </c>
      <c r="E158" s="67">
        <f t="shared" ca="1" si="13"/>
        <v>0.03</v>
      </c>
      <c r="F158" s="21"/>
    </row>
    <row r="159" spans="1:6" x14ac:dyDescent="0.3">
      <c r="A159" s="34">
        <v>155</v>
      </c>
      <c r="B159" s="103">
        <f t="shared" ca="1" si="14"/>
        <v>60947</v>
      </c>
      <c r="C159" s="67">
        <f t="shared" ca="1" si="11"/>
        <v>0.01</v>
      </c>
      <c r="D159" s="103">
        <f t="shared" ca="1" si="12"/>
        <v>5732061</v>
      </c>
      <c r="E159" s="67">
        <f t="shared" ca="1" si="13"/>
        <v>0.02</v>
      </c>
      <c r="F159" s="21"/>
    </row>
    <row r="160" spans="1:6" x14ac:dyDescent="0.3">
      <c r="A160" s="34">
        <v>156</v>
      </c>
      <c r="B160" s="103">
        <f t="shared" ca="1" si="14"/>
        <v>62984</v>
      </c>
      <c r="C160" s="67">
        <f t="shared" ca="1" si="11"/>
        <v>0.04</v>
      </c>
      <c r="D160" s="103">
        <f t="shared" ca="1" si="12"/>
        <v>5616437</v>
      </c>
      <c r="E160" s="67">
        <f t="shared" ca="1" si="13"/>
        <v>0</v>
      </c>
      <c r="F160" s="21"/>
    </row>
    <row r="161" spans="1:6" x14ac:dyDescent="0.3">
      <c r="A161" s="34">
        <v>157</v>
      </c>
      <c r="B161" s="103">
        <f t="shared" ca="1" si="14"/>
        <v>58710</v>
      </c>
      <c r="C161" s="67">
        <f t="shared" ca="1" si="11"/>
        <v>-0.03</v>
      </c>
      <c r="D161" s="103">
        <f t="shared" ca="1" si="12"/>
        <v>5476030</v>
      </c>
      <c r="E161" s="67">
        <f t="shared" ca="1" si="13"/>
        <v>-0.03</v>
      </c>
      <c r="F161" s="21"/>
    </row>
    <row r="162" spans="1:6" x14ac:dyDescent="0.3">
      <c r="A162" s="34">
        <v>158</v>
      </c>
      <c r="B162" s="103">
        <f t="shared" ca="1" si="14"/>
        <v>57008</v>
      </c>
      <c r="C162" s="67">
        <f t="shared" ca="1" si="11"/>
        <v>-0.05</v>
      </c>
      <c r="D162" s="103">
        <f t="shared" ca="1" si="12"/>
        <v>5740019</v>
      </c>
      <c r="E162" s="67">
        <f t="shared" ca="1" si="13"/>
        <v>0.02</v>
      </c>
      <c r="F162" s="21"/>
    </row>
    <row r="163" spans="1:6" x14ac:dyDescent="0.3">
      <c r="A163" s="34">
        <v>159</v>
      </c>
      <c r="B163" s="103">
        <f t="shared" ca="1" si="14"/>
        <v>57831</v>
      </c>
      <c r="C163" s="67">
        <f t="shared" ca="1" si="11"/>
        <v>-0.04</v>
      </c>
      <c r="D163" s="103">
        <f t="shared" ca="1" si="12"/>
        <v>5812259</v>
      </c>
      <c r="E163" s="67">
        <f t="shared" ca="1" si="13"/>
        <v>0.03</v>
      </c>
      <c r="F163" s="21"/>
    </row>
    <row r="164" spans="1:6" x14ac:dyDescent="0.3">
      <c r="A164" s="34">
        <v>160</v>
      </c>
      <c r="B164" s="103">
        <f t="shared" ca="1" si="14"/>
        <v>62549</v>
      </c>
      <c r="C164" s="67">
        <f t="shared" ca="1" si="11"/>
        <v>0.04</v>
      </c>
      <c r="D164" s="103">
        <f t="shared" ca="1" si="12"/>
        <v>5453041</v>
      </c>
      <c r="E164" s="67">
        <f t="shared" ca="1" si="13"/>
        <v>-0.03</v>
      </c>
      <c r="F164" s="21"/>
    </row>
    <row r="165" spans="1:6" x14ac:dyDescent="0.3">
      <c r="A165" s="34">
        <v>161</v>
      </c>
      <c r="B165" s="103">
        <f t="shared" ca="1" si="14"/>
        <v>59253</v>
      </c>
      <c r="C165" s="67">
        <f t="shared" ca="1" si="11"/>
        <v>-0.02</v>
      </c>
      <c r="D165" s="103">
        <f t="shared" ca="1" si="12"/>
        <v>5879883</v>
      </c>
      <c r="E165" s="67">
        <f t="shared" ca="1" si="13"/>
        <v>0.04</v>
      </c>
      <c r="F165" s="21"/>
    </row>
    <row r="166" spans="1:6" x14ac:dyDescent="0.3">
      <c r="A166" s="34">
        <v>162</v>
      </c>
      <c r="B166" s="103">
        <f t="shared" ca="1" si="14"/>
        <v>59083</v>
      </c>
      <c r="C166" s="67">
        <f t="shared" ca="1" si="11"/>
        <v>-0.02</v>
      </c>
      <c r="D166" s="103">
        <f t="shared" ca="1" si="12"/>
        <v>5478293</v>
      </c>
      <c r="E166" s="67">
        <f t="shared" ca="1" si="13"/>
        <v>-0.03</v>
      </c>
      <c r="F166" s="21"/>
    </row>
    <row r="167" spans="1:6" x14ac:dyDescent="0.3">
      <c r="A167" s="34">
        <v>163</v>
      </c>
      <c r="B167" s="103">
        <f t="shared" ca="1" si="14"/>
        <v>61576</v>
      </c>
      <c r="C167" s="67">
        <f t="shared" ca="1" si="11"/>
        <v>0.02</v>
      </c>
      <c r="D167" s="103">
        <f t="shared" ca="1" si="12"/>
        <v>5407005</v>
      </c>
      <c r="E167" s="67">
        <f t="shared" ca="1" si="13"/>
        <v>-0.04</v>
      </c>
      <c r="F167" s="21"/>
    </row>
    <row r="168" spans="1:6" x14ac:dyDescent="0.3">
      <c r="A168" s="34">
        <v>164</v>
      </c>
      <c r="B168" s="103">
        <f t="shared" ca="1" si="14"/>
        <v>62251</v>
      </c>
      <c r="C168" s="67">
        <f t="shared" ca="1" si="11"/>
        <v>0.03</v>
      </c>
      <c r="D168" s="103">
        <f t="shared" ca="1" si="12"/>
        <v>5857330</v>
      </c>
      <c r="E168" s="67">
        <f t="shared" ca="1" si="13"/>
        <v>0.04</v>
      </c>
      <c r="F168" s="21"/>
    </row>
    <row r="169" spans="1:6" x14ac:dyDescent="0.3">
      <c r="A169" s="34">
        <v>165</v>
      </c>
      <c r="B169" s="103">
        <f t="shared" ca="1" si="14"/>
        <v>62075</v>
      </c>
      <c r="C169" s="67">
        <f t="shared" ca="1" si="11"/>
        <v>0.03</v>
      </c>
      <c r="D169" s="103">
        <f t="shared" ca="1" si="12"/>
        <v>5788244</v>
      </c>
      <c r="E169" s="67">
        <f t="shared" ca="1" si="13"/>
        <v>0.03</v>
      </c>
      <c r="F169" s="21"/>
    </row>
    <row r="170" spans="1:6" x14ac:dyDescent="0.3">
      <c r="A170" s="34">
        <v>166</v>
      </c>
      <c r="B170" s="103">
        <f t="shared" ca="1" si="14"/>
        <v>61845</v>
      </c>
      <c r="C170" s="67">
        <f t="shared" ca="1" si="11"/>
        <v>0.03</v>
      </c>
      <c r="D170" s="103">
        <f t="shared" ca="1" si="12"/>
        <v>5860734</v>
      </c>
      <c r="E170" s="67">
        <f t="shared" ca="1" si="13"/>
        <v>0.04</v>
      </c>
      <c r="F170" s="21"/>
    </row>
    <row r="171" spans="1:6" x14ac:dyDescent="0.3">
      <c r="A171" s="34">
        <v>167</v>
      </c>
      <c r="B171" s="103">
        <f t="shared" ca="1" si="14"/>
        <v>58687</v>
      </c>
      <c r="C171" s="67">
        <f t="shared" ca="1" si="11"/>
        <v>-0.03</v>
      </c>
      <c r="D171" s="103">
        <f t="shared" ca="1" si="12"/>
        <v>5772433</v>
      </c>
      <c r="E171" s="67">
        <f t="shared" ca="1" si="13"/>
        <v>0.02</v>
      </c>
      <c r="F171" s="21"/>
    </row>
    <row r="172" spans="1:6" x14ac:dyDescent="0.3">
      <c r="A172" s="34">
        <v>168</v>
      </c>
      <c r="B172" s="103">
        <f t="shared" ca="1" si="14"/>
        <v>62224</v>
      </c>
      <c r="C172" s="67">
        <f t="shared" ca="1" si="11"/>
        <v>0.03</v>
      </c>
      <c r="D172" s="103">
        <f t="shared" ca="1" si="12"/>
        <v>5583749</v>
      </c>
      <c r="E172" s="67">
        <f t="shared" ca="1" si="13"/>
        <v>-0.01</v>
      </c>
      <c r="F172" s="21"/>
    </row>
    <row r="173" spans="1:6" x14ac:dyDescent="0.3">
      <c r="A173" s="34">
        <v>169</v>
      </c>
      <c r="B173" s="103">
        <f t="shared" ca="1" si="14"/>
        <v>58993</v>
      </c>
      <c r="C173" s="67">
        <f t="shared" ca="1" si="11"/>
        <v>-0.02</v>
      </c>
      <c r="D173" s="103">
        <f t="shared" ca="1" si="12"/>
        <v>5387631</v>
      </c>
      <c r="E173" s="67">
        <f t="shared" ca="1" si="13"/>
        <v>-0.04</v>
      </c>
      <c r="F173" s="21"/>
    </row>
    <row r="174" spans="1:6" x14ac:dyDescent="0.3">
      <c r="A174" s="34">
        <v>170</v>
      </c>
      <c r="B174" s="103">
        <f t="shared" ca="1" si="14"/>
        <v>58662</v>
      </c>
      <c r="C174" s="67">
        <f t="shared" ca="1" si="11"/>
        <v>-0.03</v>
      </c>
      <c r="D174" s="103">
        <f t="shared" ca="1" si="12"/>
        <v>5640842</v>
      </c>
      <c r="E174" s="67">
        <f t="shared" ca="1" si="13"/>
        <v>0</v>
      </c>
      <c r="F174" s="21"/>
    </row>
    <row r="175" spans="1:6" x14ac:dyDescent="0.3">
      <c r="A175" s="34">
        <v>171</v>
      </c>
      <c r="B175" s="103">
        <f t="shared" ca="1" si="14"/>
        <v>57677</v>
      </c>
      <c r="C175" s="67">
        <f t="shared" ca="1" si="11"/>
        <v>-0.04</v>
      </c>
      <c r="D175" s="103">
        <f t="shared" ca="1" si="12"/>
        <v>5814303</v>
      </c>
      <c r="E175" s="67">
        <f t="shared" ca="1" si="13"/>
        <v>0.03</v>
      </c>
      <c r="F175" s="21"/>
    </row>
    <row r="176" spans="1:6" x14ac:dyDescent="0.3">
      <c r="A176" s="34">
        <v>172</v>
      </c>
      <c r="B176" s="103">
        <f t="shared" ca="1" si="14"/>
        <v>62475</v>
      </c>
      <c r="C176" s="67">
        <f t="shared" ca="1" si="11"/>
        <v>0.04</v>
      </c>
      <c r="D176" s="103">
        <f t="shared" ca="1" si="12"/>
        <v>5625926</v>
      </c>
      <c r="E176" s="67">
        <f t="shared" ca="1" si="13"/>
        <v>0</v>
      </c>
      <c r="F176" s="21"/>
    </row>
    <row r="177" spans="1:6" x14ac:dyDescent="0.3">
      <c r="A177" s="34">
        <v>173</v>
      </c>
      <c r="B177" s="103">
        <f t="shared" ca="1" si="14"/>
        <v>60691</v>
      </c>
      <c r="C177" s="67">
        <f t="shared" ca="1" si="11"/>
        <v>0.01</v>
      </c>
      <c r="D177" s="103">
        <f t="shared" ca="1" si="12"/>
        <v>5792971</v>
      </c>
      <c r="E177" s="67">
        <f t="shared" ca="1" si="13"/>
        <v>0.03</v>
      </c>
      <c r="F177" s="21"/>
    </row>
    <row r="178" spans="1:6" x14ac:dyDescent="0.3">
      <c r="A178" s="34">
        <v>174</v>
      </c>
      <c r="B178" s="103">
        <f t="shared" ca="1" si="14"/>
        <v>57164</v>
      </c>
      <c r="C178" s="67">
        <f t="shared" ca="1" si="11"/>
        <v>-0.05</v>
      </c>
      <c r="D178" s="103">
        <f t="shared" ca="1" si="12"/>
        <v>5583690</v>
      </c>
      <c r="E178" s="67">
        <f t="shared" ca="1" si="13"/>
        <v>-0.01</v>
      </c>
      <c r="F178" s="21"/>
    </row>
    <row r="179" spans="1:6" x14ac:dyDescent="0.3">
      <c r="A179" s="34">
        <v>175</v>
      </c>
      <c r="B179" s="103">
        <f t="shared" ca="1" si="14"/>
        <v>61022</v>
      </c>
      <c r="C179" s="67">
        <f t="shared" ca="1" si="11"/>
        <v>0.01</v>
      </c>
      <c r="D179" s="103">
        <f t="shared" ca="1" si="12"/>
        <v>5373443</v>
      </c>
      <c r="E179" s="67">
        <f t="shared" ca="1" si="13"/>
        <v>-0.05</v>
      </c>
      <c r="F179" s="21"/>
    </row>
    <row r="180" spans="1:6" x14ac:dyDescent="0.3">
      <c r="A180" s="34">
        <v>176</v>
      </c>
      <c r="B180" s="103">
        <f t="shared" ca="1" si="14"/>
        <v>58547</v>
      </c>
      <c r="C180" s="67">
        <f t="shared" ca="1" si="11"/>
        <v>-0.03</v>
      </c>
      <c r="D180" s="103">
        <f t="shared" ca="1" si="12"/>
        <v>5419859</v>
      </c>
      <c r="E180" s="67">
        <f t="shared" ca="1" si="13"/>
        <v>-0.04</v>
      </c>
      <c r="F180" s="21"/>
    </row>
    <row r="181" spans="1:6" x14ac:dyDescent="0.3">
      <c r="A181" s="34">
        <v>177</v>
      </c>
      <c r="B181" s="103">
        <f t="shared" ca="1" si="14"/>
        <v>57981</v>
      </c>
      <c r="C181" s="67">
        <f t="shared" ca="1" si="11"/>
        <v>-0.04</v>
      </c>
      <c r="D181" s="103">
        <f t="shared" ca="1" si="12"/>
        <v>5399667</v>
      </c>
      <c r="E181" s="67">
        <f t="shared" ca="1" si="13"/>
        <v>-0.04</v>
      </c>
      <c r="F181" s="21"/>
    </row>
    <row r="182" spans="1:6" x14ac:dyDescent="0.3">
      <c r="A182" s="34">
        <v>178</v>
      </c>
      <c r="B182" s="103">
        <f t="shared" ca="1" si="14"/>
        <v>62078</v>
      </c>
      <c r="C182" s="67">
        <f t="shared" ca="1" si="11"/>
        <v>0.03</v>
      </c>
      <c r="D182" s="103">
        <f t="shared" ca="1" si="12"/>
        <v>5878268</v>
      </c>
      <c r="E182" s="67">
        <f t="shared" ca="1" si="13"/>
        <v>0.04</v>
      </c>
      <c r="F182" s="21"/>
    </row>
    <row r="183" spans="1:6" x14ac:dyDescent="0.3">
      <c r="A183" s="34">
        <v>179</v>
      </c>
      <c r="B183" s="103">
        <f t="shared" ca="1" si="14"/>
        <v>60710</v>
      </c>
      <c r="C183" s="67">
        <f t="shared" ca="1" si="11"/>
        <v>0.01</v>
      </c>
      <c r="D183" s="103">
        <f t="shared" ca="1" si="12"/>
        <v>5329063</v>
      </c>
      <c r="E183" s="67">
        <f t="shared" ca="1" si="13"/>
        <v>-0.05</v>
      </c>
      <c r="F183" s="21"/>
    </row>
    <row r="184" spans="1:6" x14ac:dyDescent="0.3">
      <c r="A184" s="34">
        <v>180</v>
      </c>
      <c r="B184" s="103">
        <f t="shared" ca="1" si="14"/>
        <v>62487</v>
      </c>
      <c r="C184" s="67">
        <f t="shared" ca="1" si="11"/>
        <v>0.04</v>
      </c>
      <c r="D184" s="103">
        <f t="shared" ca="1" si="12"/>
        <v>5500721</v>
      </c>
      <c r="E184" s="67">
        <f t="shared" ca="1" si="13"/>
        <v>-0.02</v>
      </c>
      <c r="F184" s="21"/>
    </row>
    <row r="185" spans="1:6" x14ac:dyDescent="0.3">
      <c r="A185" s="34">
        <v>181</v>
      </c>
      <c r="B185" s="103">
        <f t="shared" ca="1" si="14"/>
        <v>57193</v>
      </c>
      <c r="C185" s="67">
        <f t="shared" ca="1" si="11"/>
        <v>-0.05</v>
      </c>
      <c r="D185" s="103">
        <f t="shared" ca="1" si="12"/>
        <v>5475729</v>
      </c>
      <c r="E185" s="67">
        <f t="shared" ca="1" si="13"/>
        <v>-0.03</v>
      </c>
      <c r="F185" s="21"/>
    </row>
    <row r="186" spans="1:6" x14ac:dyDescent="0.3">
      <c r="A186" s="34">
        <v>182</v>
      </c>
      <c r="B186" s="103">
        <f t="shared" ca="1" si="14"/>
        <v>61258</v>
      </c>
      <c r="C186" s="67">
        <f t="shared" ca="1" si="11"/>
        <v>0.02</v>
      </c>
      <c r="D186" s="103">
        <f t="shared" ca="1" si="12"/>
        <v>5616773</v>
      </c>
      <c r="E186" s="67">
        <f t="shared" ca="1" si="13"/>
        <v>0</v>
      </c>
      <c r="F186" s="21"/>
    </row>
    <row r="187" spans="1:6" x14ac:dyDescent="0.3">
      <c r="A187" s="34">
        <v>183</v>
      </c>
      <c r="B187" s="103">
        <f t="shared" ca="1" si="14"/>
        <v>60312</v>
      </c>
      <c r="C187" s="67">
        <f t="shared" ca="1" si="11"/>
        <v>0</v>
      </c>
      <c r="D187" s="103">
        <f t="shared" ca="1" si="12"/>
        <v>5337831</v>
      </c>
      <c r="E187" s="67">
        <f t="shared" ca="1" si="13"/>
        <v>-0.05</v>
      </c>
      <c r="F187" s="21"/>
    </row>
    <row r="188" spans="1:6" x14ac:dyDescent="0.3">
      <c r="A188" s="34">
        <v>184</v>
      </c>
      <c r="B188" s="103">
        <f t="shared" ca="1" si="14"/>
        <v>58792</v>
      </c>
      <c r="C188" s="67">
        <f t="shared" ca="1" si="11"/>
        <v>-0.03</v>
      </c>
      <c r="D188" s="103">
        <f t="shared" ca="1" si="12"/>
        <v>5658538</v>
      </c>
      <c r="E188" s="67">
        <f t="shared" ca="1" si="13"/>
        <v>0</v>
      </c>
      <c r="F188" s="21"/>
    </row>
    <row r="189" spans="1:6" x14ac:dyDescent="0.3">
      <c r="A189" s="34">
        <v>185</v>
      </c>
      <c r="B189" s="103">
        <f t="shared" ca="1" si="14"/>
        <v>61372</v>
      </c>
      <c r="C189" s="67">
        <f t="shared" ca="1" si="11"/>
        <v>0.02</v>
      </c>
      <c r="D189" s="103">
        <f t="shared" ca="1" si="12"/>
        <v>5735162</v>
      </c>
      <c r="E189" s="67">
        <f t="shared" ca="1" si="13"/>
        <v>0.02</v>
      </c>
      <c r="F189" s="21"/>
    </row>
    <row r="190" spans="1:6" x14ac:dyDescent="0.3">
      <c r="A190" s="34">
        <v>186</v>
      </c>
      <c r="B190" s="103">
        <f t="shared" ca="1" si="14"/>
        <v>58245</v>
      </c>
      <c r="C190" s="67">
        <f t="shared" ca="1" si="11"/>
        <v>-0.03</v>
      </c>
      <c r="D190" s="103">
        <f t="shared" ca="1" si="12"/>
        <v>5507807</v>
      </c>
      <c r="E190" s="67">
        <f t="shared" ca="1" si="13"/>
        <v>-0.02</v>
      </c>
      <c r="F190" s="21"/>
    </row>
    <row r="191" spans="1:6" x14ac:dyDescent="0.3">
      <c r="A191" s="34">
        <v>187</v>
      </c>
      <c r="B191" s="103">
        <f t="shared" ca="1" si="14"/>
        <v>57862</v>
      </c>
      <c r="C191" s="67">
        <f t="shared" ca="1" si="11"/>
        <v>-0.04</v>
      </c>
      <c r="D191" s="103">
        <f t="shared" ca="1" si="12"/>
        <v>5408072</v>
      </c>
      <c r="E191" s="67">
        <f t="shared" ca="1" si="13"/>
        <v>-0.04</v>
      </c>
      <c r="F191" s="21"/>
    </row>
    <row r="192" spans="1:6" x14ac:dyDescent="0.3">
      <c r="A192" s="34">
        <v>188</v>
      </c>
      <c r="B192" s="103">
        <f t="shared" ca="1" si="14"/>
        <v>57728</v>
      </c>
      <c r="C192" s="67">
        <f t="shared" ca="1" si="11"/>
        <v>-0.04</v>
      </c>
      <c r="D192" s="103">
        <f t="shared" ca="1" si="12"/>
        <v>5393729</v>
      </c>
      <c r="E192" s="67">
        <f t="shared" ca="1" si="13"/>
        <v>-0.04</v>
      </c>
      <c r="F192" s="21"/>
    </row>
    <row r="193" spans="1:6" x14ac:dyDescent="0.3">
      <c r="A193" s="34">
        <v>189</v>
      </c>
      <c r="B193" s="103">
        <f t="shared" ca="1" si="14"/>
        <v>57172</v>
      </c>
      <c r="C193" s="67">
        <f t="shared" ca="1" si="11"/>
        <v>-0.05</v>
      </c>
      <c r="D193" s="103">
        <f t="shared" ca="1" si="12"/>
        <v>5709793</v>
      </c>
      <c r="E193" s="67">
        <f t="shared" ca="1" si="13"/>
        <v>0.01</v>
      </c>
      <c r="F193" s="21"/>
    </row>
    <row r="194" spans="1:6" x14ac:dyDescent="0.3">
      <c r="A194" s="34">
        <v>190</v>
      </c>
      <c r="B194" s="103">
        <f t="shared" ca="1" si="14"/>
        <v>61417</v>
      </c>
      <c r="C194" s="67">
        <f t="shared" ca="1" si="11"/>
        <v>0.02</v>
      </c>
      <c r="D194" s="103">
        <f t="shared" ca="1" si="12"/>
        <v>5851152</v>
      </c>
      <c r="E194" s="67">
        <f t="shared" ca="1" si="13"/>
        <v>0.04</v>
      </c>
      <c r="F194" s="21"/>
    </row>
    <row r="195" spans="1:6" x14ac:dyDescent="0.3">
      <c r="A195" s="34">
        <v>191</v>
      </c>
      <c r="B195" s="103">
        <f t="shared" ca="1" si="14"/>
        <v>62340</v>
      </c>
      <c r="C195" s="67">
        <f t="shared" ca="1" si="11"/>
        <v>0.03</v>
      </c>
      <c r="D195" s="103">
        <f t="shared" ca="1" si="12"/>
        <v>5769257</v>
      </c>
      <c r="E195" s="67">
        <f t="shared" ca="1" si="13"/>
        <v>0.02</v>
      </c>
      <c r="F195" s="21"/>
    </row>
    <row r="196" spans="1:6" x14ac:dyDescent="0.3">
      <c r="A196" s="34">
        <v>192</v>
      </c>
      <c r="B196" s="103">
        <f t="shared" ca="1" si="14"/>
        <v>59779</v>
      </c>
      <c r="C196" s="67">
        <f t="shared" ca="1" si="11"/>
        <v>-0.01</v>
      </c>
      <c r="D196" s="103">
        <f t="shared" ca="1" si="12"/>
        <v>5713667</v>
      </c>
      <c r="E196" s="67">
        <f t="shared" ca="1" si="13"/>
        <v>0.01</v>
      </c>
      <c r="F196" s="21"/>
    </row>
    <row r="197" spans="1:6" x14ac:dyDescent="0.3">
      <c r="A197" s="34">
        <v>193</v>
      </c>
      <c r="B197" s="103">
        <f t="shared" ca="1" si="14"/>
        <v>60458</v>
      </c>
      <c r="C197" s="67">
        <f t="shared" ref="C197:C260" ca="1" si="15">_xlfn.XLOOKUP(B197,selling_price_range,Range,"",-1)</f>
        <v>0</v>
      </c>
      <c r="D197" s="103">
        <f t="shared" ref="D197:D260" ca="1" si="16">RANDBETWEEN($P$5*(1+$G$5),$P$5*(1+$G$15))</f>
        <v>5387501</v>
      </c>
      <c r="E197" s="67">
        <f t="shared" ref="E197:E260" ca="1" si="17">_xlfn.XLOOKUP(D197,expenses_range,Range,"",-1)</f>
        <v>-0.04</v>
      </c>
      <c r="F197" s="21"/>
    </row>
    <row r="198" spans="1:6" x14ac:dyDescent="0.3">
      <c r="A198" s="34">
        <v>194</v>
      </c>
      <c r="B198" s="103">
        <f t="shared" ref="B198:B261" ca="1" si="18">RANDBETWEEN($P$4*(1+$G$5),$P$4*(1+$G$15))</f>
        <v>62741</v>
      </c>
      <c r="C198" s="67">
        <f t="shared" ca="1" si="15"/>
        <v>0.04</v>
      </c>
      <c r="D198" s="103">
        <f t="shared" ca="1" si="16"/>
        <v>5797240</v>
      </c>
      <c r="E198" s="67">
        <f t="shared" ca="1" si="17"/>
        <v>0.03</v>
      </c>
      <c r="F198" s="21"/>
    </row>
    <row r="199" spans="1:6" x14ac:dyDescent="0.3">
      <c r="A199" s="34">
        <v>195</v>
      </c>
      <c r="B199" s="103">
        <f t="shared" ca="1" si="18"/>
        <v>62183</v>
      </c>
      <c r="C199" s="67">
        <f t="shared" ca="1" si="15"/>
        <v>0.03</v>
      </c>
      <c r="D199" s="103">
        <f t="shared" ca="1" si="16"/>
        <v>5512113</v>
      </c>
      <c r="E199" s="67">
        <f t="shared" ca="1" si="17"/>
        <v>-0.02</v>
      </c>
      <c r="F199" s="21"/>
    </row>
    <row r="200" spans="1:6" x14ac:dyDescent="0.3">
      <c r="A200" s="34">
        <v>196</v>
      </c>
      <c r="B200" s="103">
        <f t="shared" ca="1" si="18"/>
        <v>61224</v>
      </c>
      <c r="C200" s="67">
        <f t="shared" ca="1" si="15"/>
        <v>0.02</v>
      </c>
      <c r="D200" s="103">
        <f t="shared" ca="1" si="16"/>
        <v>5482193</v>
      </c>
      <c r="E200" s="67">
        <f t="shared" ca="1" si="17"/>
        <v>-0.03</v>
      </c>
      <c r="F200" s="21"/>
    </row>
    <row r="201" spans="1:6" x14ac:dyDescent="0.3">
      <c r="A201" s="34">
        <v>197</v>
      </c>
      <c r="B201" s="103">
        <f t="shared" ca="1" si="18"/>
        <v>62519</v>
      </c>
      <c r="C201" s="67">
        <f t="shared" ca="1" si="15"/>
        <v>0.04</v>
      </c>
      <c r="D201" s="103">
        <f t="shared" ca="1" si="16"/>
        <v>5407385</v>
      </c>
      <c r="E201" s="67">
        <f t="shared" ca="1" si="17"/>
        <v>-0.04</v>
      </c>
      <c r="F201" s="21"/>
    </row>
    <row r="202" spans="1:6" x14ac:dyDescent="0.3">
      <c r="A202" s="34">
        <v>198</v>
      </c>
      <c r="B202" s="103">
        <f t="shared" ca="1" si="18"/>
        <v>61984</v>
      </c>
      <c r="C202" s="67">
        <f t="shared" ca="1" si="15"/>
        <v>0.03</v>
      </c>
      <c r="D202" s="103">
        <f t="shared" ca="1" si="16"/>
        <v>5712152</v>
      </c>
      <c r="E202" s="67">
        <f t="shared" ca="1" si="17"/>
        <v>0.01</v>
      </c>
      <c r="F202" s="21"/>
    </row>
    <row r="203" spans="1:6" x14ac:dyDescent="0.3">
      <c r="A203" s="34">
        <v>199</v>
      </c>
      <c r="B203" s="103">
        <f t="shared" ca="1" si="18"/>
        <v>62589</v>
      </c>
      <c r="C203" s="67">
        <f t="shared" ca="1" si="15"/>
        <v>0.04</v>
      </c>
      <c r="D203" s="103">
        <f t="shared" ca="1" si="16"/>
        <v>5693241</v>
      </c>
      <c r="E203" s="67">
        <f t="shared" ca="1" si="17"/>
        <v>0.01</v>
      </c>
      <c r="F203" s="21"/>
    </row>
    <row r="204" spans="1:6" x14ac:dyDescent="0.3">
      <c r="A204" s="34">
        <v>200</v>
      </c>
      <c r="B204" s="103">
        <f t="shared" ca="1" si="18"/>
        <v>60577</v>
      </c>
      <c r="C204" s="67">
        <f t="shared" ca="1" si="15"/>
        <v>0</v>
      </c>
      <c r="D204" s="103">
        <f t="shared" ca="1" si="16"/>
        <v>5400658</v>
      </c>
      <c r="E204" s="67">
        <f t="shared" ca="1" si="17"/>
        <v>-0.04</v>
      </c>
      <c r="F204" s="21"/>
    </row>
    <row r="205" spans="1:6" x14ac:dyDescent="0.3">
      <c r="A205" s="34">
        <v>201</v>
      </c>
      <c r="B205" s="103">
        <f t="shared" ca="1" si="18"/>
        <v>57611</v>
      </c>
      <c r="C205" s="67">
        <f t="shared" ca="1" si="15"/>
        <v>-0.04</v>
      </c>
      <c r="D205" s="103">
        <f t="shared" ca="1" si="16"/>
        <v>5561595</v>
      </c>
      <c r="E205" s="67">
        <f t="shared" ca="1" si="17"/>
        <v>-0.01</v>
      </c>
      <c r="F205" s="21"/>
    </row>
    <row r="206" spans="1:6" x14ac:dyDescent="0.3">
      <c r="A206" s="34">
        <v>202</v>
      </c>
      <c r="B206" s="103">
        <f t="shared" ca="1" si="18"/>
        <v>58745</v>
      </c>
      <c r="C206" s="67">
        <f t="shared" ca="1" si="15"/>
        <v>-0.03</v>
      </c>
      <c r="D206" s="103">
        <f t="shared" ca="1" si="16"/>
        <v>5601572</v>
      </c>
      <c r="E206" s="67">
        <f t="shared" ca="1" si="17"/>
        <v>-0.01</v>
      </c>
      <c r="F206" s="21"/>
    </row>
    <row r="207" spans="1:6" x14ac:dyDescent="0.3">
      <c r="A207" s="34">
        <v>203</v>
      </c>
      <c r="B207" s="103">
        <f t="shared" ca="1" si="18"/>
        <v>58140</v>
      </c>
      <c r="C207" s="67">
        <f t="shared" ca="1" si="15"/>
        <v>-0.04</v>
      </c>
      <c r="D207" s="103">
        <f t="shared" ca="1" si="16"/>
        <v>5576057</v>
      </c>
      <c r="E207" s="67">
        <f t="shared" ca="1" si="17"/>
        <v>-0.01</v>
      </c>
      <c r="F207" s="21"/>
    </row>
    <row r="208" spans="1:6" x14ac:dyDescent="0.3">
      <c r="A208" s="34">
        <v>204</v>
      </c>
      <c r="B208" s="103">
        <f t="shared" ca="1" si="18"/>
        <v>57126</v>
      </c>
      <c r="C208" s="67">
        <f t="shared" ca="1" si="15"/>
        <v>-0.05</v>
      </c>
      <c r="D208" s="103">
        <f t="shared" ca="1" si="16"/>
        <v>5454390</v>
      </c>
      <c r="E208" s="67">
        <f t="shared" ca="1" si="17"/>
        <v>-0.03</v>
      </c>
      <c r="F208" s="21"/>
    </row>
    <row r="209" spans="1:6" x14ac:dyDescent="0.3">
      <c r="A209" s="34">
        <v>205</v>
      </c>
      <c r="B209" s="103">
        <f t="shared" ca="1" si="18"/>
        <v>59808</v>
      </c>
      <c r="C209" s="67">
        <f t="shared" ca="1" si="15"/>
        <v>-0.01</v>
      </c>
      <c r="D209" s="103">
        <f t="shared" ca="1" si="16"/>
        <v>5636025</v>
      </c>
      <c r="E209" s="67">
        <f t="shared" ca="1" si="17"/>
        <v>0</v>
      </c>
      <c r="F209" s="21"/>
    </row>
    <row r="210" spans="1:6" x14ac:dyDescent="0.3">
      <c r="A210" s="34">
        <v>206</v>
      </c>
      <c r="B210" s="103">
        <f t="shared" ca="1" si="18"/>
        <v>62728</v>
      </c>
      <c r="C210" s="67">
        <f t="shared" ca="1" si="15"/>
        <v>0.04</v>
      </c>
      <c r="D210" s="103">
        <f t="shared" ca="1" si="16"/>
        <v>5772134</v>
      </c>
      <c r="E210" s="67">
        <f t="shared" ca="1" si="17"/>
        <v>0.02</v>
      </c>
      <c r="F210" s="21"/>
    </row>
    <row r="211" spans="1:6" x14ac:dyDescent="0.3">
      <c r="A211" s="34">
        <v>207</v>
      </c>
      <c r="B211" s="103">
        <f t="shared" ca="1" si="18"/>
        <v>61790</v>
      </c>
      <c r="C211" s="67">
        <f t="shared" ca="1" si="15"/>
        <v>0.02</v>
      </c>
      <c r="D211" s="103">
        <f t="shared" ca="1" si="16"/>
        <v>5808685</v>
      </c>
      <c r="E211" s="67">
        <f t="shared" ca="1" si="17"/>
        <v>0.03</v>
      </c>
      <c r="F211" s="21"/>
    </row>
    <row r="212" spans="1:6" x14ac:dyDescent="0.3">
      <c r="A212" s="34">
        <v>208</v>
      </c>
      <c r="B212" s="103">
        <f t="shared" ca="1" si="18"/>
        <v>61026</v>
      </c>
      <c r="C212" s="67">
        <f t="shared" ca="1" si="15"/>
        <v>0.01</v>
      </c>
      <c r="D212" s="103">
        <f t="shared" ca="1" si="16"/>
        <v>5801001</v>
      </c>
      <c r="E212" s="67">
        <f t="shared" ca="1" si="17"/>
        <v>0.03</v>
      </c>
      <c r="F212" s="21"/>
    </row>
    <row r="213" spans="1:6" x14ac:dyDescent="0.3">
      <c r="A213" s="34">
        <v>209</v>
      </c>
      <c r="B213" s="103">
        <f t="shared" ca="1" si="18"/>
        <v>60719</v>
      </c>
      <c r="C213" s="67">
        <f t="shared" ca="1" si="15"/>
        <v>0.01</v>
      </c>
      <c r="D213" s="103">
        <f t="shared" ca="1" si="16"/>
        <v>5464306</v>
      </c>
      <c r="E213" s="67">
        <f t="shared" ca="1" si="17"/>
        <v>-0.03</v>
      </c>
      <c r="F213" s="21"/>
    </row>
    <row r="214" spans="1:6" x14ac:dyDescent="0.3">
      <c r="A214" s="34">
        <v>210</v>
      </c>
      <c r="B214" s="103">
        <f t="shared" ca="1" si="18"/>
        <v>60832</v>
      </c>
      <c r="C214" s="67">
        <f t="shared" ca="1" si="15"/>
        <v>0.01</v>
      </c>
      <c r="D214" s="103">
        <f t="shared" ca="1" si="16"/>
        <v>5402111</v>
      </c>
      <c r="E214" s="67">
        <f t="shared" ca="1" si="17"/>
        <v>-0.04</v>
      </c>
      <c r="F214" s="21"/>
    </row>
    <row r="215" spans="1:6" x14ac:dyDescent="0.3">
      <c r="A215" s="34">
        <v>211</v>
      </c>
      <c r="B215" s="103">
        <f t="shared" ca="1" si="18"/>
        <v>62631</v>
      </c>
      <c r="C215" s="67">
        <f t="shared" ca="1" si="15"/>
        <v>0.04</v>
      </c>
      <c r="D215" s="103">
        <f t="shared" ca="1" si="16"/>
        <v>5536418</v>
      </c>
      <c r="E215" s="67">
        <f t="shared" ca="1" si="17"/>
        <v>-0.02</v>
      </c>
      <c r="F215" s="21"/>
    </row>
    <row r="216" spans="1:6" x14ac:dyDescent="0.3">
      <c r="A216" s="34">
        <v>212</v>
      </c>
      <c r="B216" s="103">
        <f t="shared" ca="1" si="18"/>
        <v>60447</v>
      </c>
      <c r="C216" s="67">
        <f t="shared" ca="1" si="15"/>
        <v>0</v>
      </c>
      <c r="D216" s="103">
        <f t="shared" ca="1" si="16"/>
        <v>5585513</v>
      </c>
      <c r="E216" s="67">
        <f t="shared" ca="1" si="17"/>
        <v>-0.01</v>
      </c>
      <c r="F216" s="21"/>
    </row>
    <row r="217" spans="1:6" x14ac:dyDescent="0.3">
      <c r="A217" s="34">
        <v>213</v>
      </c>
      <c r="B217" s="103">
        <f t="shared" ca="1" si="18"/>
        <v>57264</v>
      </c>
      <c r="C217" s="67">
        <f t="shared" ca="1" si="15"/>
        <v>-0.05</v>
      </c>
      <c r="D217" s="103">
        <f t="shared" ca="1" si="16"/>
        <v>5804783</v>
      </c>
      <c r="E217" s="67">
        <f t="shared" ca="1" si="17"/>
        <v>0.03</v>
      </c>
      <c r="F217" s="21"/>
    </row>
    <row r="218" spans="1:6" x14ac:dyDescent="0.3">
      <c r="A218" s="34">
        <v>214</v>
      </c>
      <c r="B218" s="103">
        <f t="shared" ca="1" si="18"/>
        <v>57802</v>
      </c>
      <c r="C218" s="67">
        <f t="shared" ca="1" si="15"/>
        <v>-0.04</v>
      </c>
      <c r="D218" s="103">
        <f t="shared" ca="1" si="16"/>
        <v>5697160</v>
      </c>
      <c r="E218" s="67">
        <f t="shared" ca="1" si="17"/>
        <v>0.01</v>
      </c>
      <c r="F218" s="21"/>
    </row>
    <row r="219" spans="1:6" x14ac:dyDescent="0.3">
      <c r="A219" s="34">
        <v>215</v>
      </c>
      <c r="B219" s="103">
        <f t="shared" ca="1" si="18"/>
        <v>58304</v>
      </c>
      <c r="C219" s="67">
        <f t="shared" ca="1" si="15"/>
        <v>-0.03</v>
      </c>
      <c r="D219" s="103">
        <f t="shared" ca="1" si="16"/>
        <v>5546329</v>
      </c>
      <c r="E219" s="67">
        <f t="shared" ca="1" si="17"/>
        <v>-0.02</v>
      </c>
      <c r="F219" s="21"/>
    </row>
    <row r="220" spans="1:6" x14ac:dyDescent="0.3">
      <c r="A220" s="34">
        <v>216</v>
      </c>
      <c r="B220" s="103">
        <f t="shared" ca="1" si="18"/>
        <v>62119</v>
      </c>
      <c r="C220" s="67">
        <f t="shared" ca="1" si="15"/>
        <v>0.03</v>
      </c>
      <c r="D220" s="103">
        <f t="shared" ca="1" si="16"/>
        <v>5325976</v>
      </c>
      <c r="E220" s="67">
        <f t="shared" ca="1" si="17"/>
        <v>-0.05</v>
      </c>
      <c r="F220" s="21"/>
    </row>
    <row r="221" spans="1:6" x14ac:dyDescent="0.3">
      <c r="A221" s="34">
        <v>217</v>
      </c>
      <c r="B221" s="103">
        <f t="shared" ca="1" si="18"/>
        <v>60696</v>
      </c>
      <c r="C221" s="67">
        <f t="shared" ca="1" si="15"/>
        <v>0.01</v>
      </c>
      <c r="D221" s="103">
        <f t="shared" ca="1" si="16"/>
        <v>5511162</v>
      </c>
      <c r="E221" s="67">
        <f t="shared" ca="1" si="17"/>
        <v>-0.02</v>
      </c>
      <c r="F221" s="21"/>
    </row>
    <row r="222" spans="1:6" x14ac:dyDescent="0.3">
      <c r="A222" s="34">
        <v>218</v>
      </c>
      <c r="B222" s="103">
        <f t="shared" ca="1" si="18"/>
        <v>62926</v>
      </c>
      <c r="C222" s="67">
        <f t="shared" ca="1" si="15"/>
        <v>0.04</v>
      </c>
      <c r="D222" s="103">
        <f t="shared" ca="1" si="16"/>
        <v>5736052</v>
      </c>
      <c r="E222" s="67">
        <f t="shared" ca="1" si="17"/>
        <v>0.02</v>
      </c>
      <c r="F222" s="21"/>
    </row>
    <row r="223" spans="1:6" x14ac:dyDescent="0.3">
      <c r="A223" s="34">
        <v>219</v>
      </c>
      <c r="B223" s="103">
        <f t="shared" ca="1" si="18"/>
        <v>60938</v>
      </c>
      <c r="C223" s="67">
        <f t="shared" ca="1" si="15"/>
        <v>0.01</v>
      </c>
      <c r="D223" s="103">
        <f t="shared" ca="1" si="16"/>
        <v>5704776</v>
      </c>
      <c r="E223" s="67">
        <f t="shared" ca="1" si="17"/>
        <v>0.01</v>
      </c>
      <c r="F223" s="21"/>
    </row>
    <row r="224" spans="1:6" x14ac:dyDescent="0.3">
      <c r="A224" s="34">
        <v>220</v>
      </c>
      <c r="B224" s="103">
        <f t="shared" ca="1" si="18"/>
        <v>59280</v>
      </c>
      <c r="C224" s="67">
        <f t="shared" ca="1" si="15"/>
        <v>-0.02</v>
      </c>
      <c r="D224" s="103">
        <f t="shared" ca="1" si="16"/>
        <v>5852059</v>
      </c>
      <c r="E224" s="67">
        <f t="shared" ca="1" si="17"/>
        <v>0.04</v>
      </c>
      <c r="F224" s="21"/>
    </row>
    <row r="225" spans="1:6" x14ac:dyDescent="0.3">
      <c r="A225" s="34">
        <v>221</v>
      </c>
      <c r="B225" s="103">
        <f t="shared" ca="1" si="18"/>
        <v>59227</v>
      </c>
      <c r="C225" s="67">
        <f t="shared" ca="1" si="15"/>
        <v>-0.02</v>
      </c>
      <c r="D225" s="103">
        <f t="shared" ca="1" si="16"/>
        <v>5438231</v>
      </c>
      <c r="E225" s="67">
        <f t="shared" ca="1" si="17"/>
        <v>-0.03</v>
      </c>
      <c r="F225" s="21"/>
    </row>
    <row r="226" spans="1:6" x14ac:dyDescent="0.3">
      <c r="A226" s="34">
        <v>222</v>
      </c>
      <c r="B226" s="103">
        <f t="shared" ca="1" si="18"/>
        <v>60354</v>
      </c>
      <c r="C226" s="67">
        <f t="shared" ca="1" si="15"/>
        <v>0</v>
      </c>
      <c r="D226" s="103">
        <f t="shared" ca="1" si="16"/>
        <v>5702068</v>
      </c>
      <c r="E226" s="67">
        <f t="shared" ca="1" si="17"/>
        <v>0.01</v>
      </c>
      <c r="F226" s="21"/>
    </row>
    <row r="227" spans="1:6" x14ac:dyDescent="0.3">
      <c r="A227" s="34">
        <v>223</v>
      </c>
      <c r="B227" s="103">
        <f t="shared" ca="1" si="18"/>
        <v>58489</v>
      </c>
      <c r="C227" s="67">
        <f t="shared" ca="1" si="15"/>
        <v>-0.03</v>
      </c>
      <c r="D227" s="103">
        <f t="shared" ca="1" si="16"/>
        <v>5600050</v>
      </c>
      <c r="E227" s="67">
        <f t="shared" ca="1" si="17"/>
        <v>-0.01</v>
      </c>
      <c r="F227" s="21"/>
    </row>
    <row r="228" spans="1:6" x14ac:dyDescent="0.3">
      <c r="A228" s="34">
        <v>224</v>
      </c>
      <c r="B228" s="103">
        <f t="shared" ca="1" si="18"/>
        <v>58455</v>
      </c>
      <c r="C228" s="67">
        <f t="shared" ca="1" si="15"/>
        <v>-0.03</v>
      </c>
      <c r="D228" s="103">
        <f t="shared" ca="1" si="16"/>
        <v>5499558</v>
      </c>
      <c r="E228" s="67">
        <f t="shared" ca="1" si="17"/>
        <v>-0.02</v>
      </c>
      <c r="F228" s="21"/>
    </row>
    <row r="229" spans="1:6" x14ac:dyDescent="0.3">
      <c r="A229" s="34">
        <v>225</v>
      </c>
      <c r="B229" s="103">
        <f t="shared" ca="1" si="18"/>
        <v>59274</v>
      </c>
      <c r="C229" s="67">
        <f t="shared" ca="1" si="15"/>
        <v>-0.02</v>
      </c>
      <c r="D229" s="103">
        <f t="shared" ca="1" si="16"/>
        <v>5433877</v>
      </c>
      <c r="E229" s="67">
        <f t="shared" ca="1" si="17"/>
        <v>-0.04</v>
      </c>
      <c r="F229" s="21"/>
    </row>
    <row r="230" spans="1:6" x14ac:dyDescent="0.3">
      <c r="A230" s="34">
        <v>226</v>
      </c>
      <c r="B230" s="103">
        <f t="shared" ca="1" si="18"/>
        <v>58230</v>
      </c>
      <c r="C230" s="67">
        <f t="shared" ca="1" si="15"/>
        <v>-0.03</v>
      </c>
      <c r="D230" s="103">
        <f t="shared" ca="1" si="16"/>
        <v>5860898</v>
      </c>
      <c r="E230" s="67">
        <f t="shared" ca="1" si="17"/>
        <v>0.04</v>
      </c>
      <c r="F230" s="21"/>
    </row>
    <row r="231" spans="1:6" x14ac:dyDescent="0.3">
      <c r="A231" s="34">
        <v>227</v>
      </c>
      <c r="B231" s="103">
        <f t="shared" ca="1" si="18"/>
        <v>61656</v>
      </c>
      <c r="C231" s="67">
        <f t="shared" ca="1" si="15"/>
        <v>0.02</v>
      </c>
      <c r="D231" s="103">
        <f t="shared" ca="1" si="16"/>
        <v>5730389</v>
      </c>
      <c r="E231" s="67">
        <f t="shared" ca="1" si="17"/>
        <v>0.02</v>
      </c>
      <c r="F231" s="21"/>
    </row>
    <row r="232" spans="1:6" x14ac:dyDescent="0.3">
      <c r="A232" s="34">
        <v>228</v>
      </c>
      <c r="B232" s="103">
        <f t="shared" ca="1" si="18"/>
        <v>58309</v>
      </c>
      <c r="C232" s="67">
        <f t="shared" ca="1" si="15"/>
        <v>-0.03</v>
      </c>
      <c r="D232" s="103">
        <f t="shared" ca="1" si="16"/>
        <v>5341682</v>
      </c>
      <c r="E232" s="67">
        <f t="shared" ca="1" si="17"/>
        <v>-0.05</v>
      </c>
      <c r="F232" s="21"/>
    </row>
    <row r="233" spans="1:6" x14ac:dyDescent="0.3">
      <c r="A233" s="34">
        <v>229</v>
      </c>
      <c r="B233" s="103">
        <f t="shared" ca="1" si="18"/>
        <v>57697</v>
      </c>
      <c r="C233" s="67">
        <f t="shared" ca="1" si="15"/>
        <v>-0.04</v>
      </c>
      <c r="D233" s="103">
        <f t="shared" ca="1" si="16"/>
        <v>5326797</v>
      </c>
      <c r="E233" s="67">
        <f t="shared" ca="1" si="17"/>
        <v>-0.05</v>
      </c>
      <c r="F233" s="21"/>
    </row>
    <row r="234" spans="1:6" x14ac:dyDescent="0.3">
      <c r="A234" s="34">
        <v>230</v>
      </c>
      <c r="B234" s="103">
        <f t="shared" ca="1" si="18"/>
        <v>62165</v>
      </c>
      <c r="C234" s="67">
        <f t="shared" ca="1" si="15"/>
        <v>0.03</v>
      </c>
      <c r="D234" s="103">
        <f t="shared" ca="1" si="16"/>
        <v>5881745</v>
      </c>
      <c r="E234" s="67">
        <f t="shared" ca="1" si="17"/>
        <v>0.04</v>
      </c>
      <c r="F234" s="21"/>
    </row>
    <row r="235" spans="1:6" x14ac:dyDescent="0.3">
      <c r="A235" s="34">
        <v>231</v>
      </c>
      <c r="B235" s="103">
        <f t="shared" ca="1" si="18"/>
        <v>58283</v>
      </c>
      <c r="C235" s="67">
        <f t="shared" ca="1" si="15"/>
        <v>-0.03</v>
      </c>
      <c r="D235" s="103">
        <f t="shared" ca="1" si="16"/>
        <v>5442596</v>
      </c>
      <c r="E235" s="67">
        <f t="shared" ca="1" si="17"/>
        <v>-0.03</v>
      </c>
      <c r="F235" s="21"/>
    </row>
    <row r="236" spans="1:6" x14ac:dyDescent="0.3">
      <c r="A236" s="34">
        <v>232</v>
      </c>
      <c r="B236" s="103">
        <f t="shared" ca="1" si="18"/>
        <v>57272</v>
      </c>
      <c r="C236" s="67">
        <f t="shared" ca="1" si="15"/>
        <v>-0.05</v>
      </c>
      <c r="D236" s="103">
        <f t="shared" ca="1" si="16"/>
        <v>5787191</v>
      </c>
      <c r="E236" s="67">
        <f t="shared" ca="1" si="17"/>
        <v>0.03</v>
      </c>
      <c r="F236" s="21"/>
    </row>
    <row r="237" spans="1:6" x14ac:dyDescent="0.3">
      <c r="A237" s="34">
        <v>233</v>
      </c>
      <c r="B237" s="103">
        <f t="shared" ca="1" si="18"/>
        <v>61380</v>
      </c>
      <c r="C237" s="67">
        <f t="shared" ca="1" si="15"/>
        <v>0.02</v>
      </c>
      <c r="D237" s="103">
        <f t="shared" ca="1" si="16"/>
        <v>5331988</v>
      </c>
      <c r="E237" s="67">
        <f t="shared" ca="1" si="17"/>
        <v>-0.05</v>
      </c>
      <c r="F237" s="21"/>
    </row>
    <row r="238" spans="1:6" x14ac:dyDescent="0.3">
      <c r="A238" s="34">
        <v>234</v>
      </c>
      <c r="B238" s="103">
        <f t="shared" ca="1" si="18"/>
        <v>61981</v>
      </c>
      <c r="C238" s="67">
        <f t="shared" ca="1" si="15"/>
        <v>0.03</v>
      </c>
      <c r="D238" s="103">
        <f t="shared" ca="1" si="16"/>
        <v>5619745</v>
      </c>
      <c r="E238" s="67">
        <f t="shared" ca="1" si="17"/>
        <v>0</v>
      </c>
      <c r="F238" s="21"/>
    </row>
    <row r="239" spans="1:6" x14ac:dyDescent="0.3">
      <c r="A239" s="34">
        <v>235</v>
      </c>
      <c r="B239" s="103">
        <f t="shared" ca="1" si="18"/>
        <v>58217</v>
      </c>
      <c r="C239" s="67">
        <f t="shared" ca="1" si="15"/>
        <v>-0.03</v>
      </c>
      <c r="D239" s="103">
        <f t="shared" ca="1" si="16"/>
        <v>5601049</v>
      </c>
      <c r="E239" s="67">
        <f t="shared" ca="1" si="17"/>
        <v>-0.01</v>
      </c>
      <c r="F239" s="21"/>
    </row>
    <row r="240" spans="1:6" x14ac:dyDescent="0.3">
      <c r="A240" s="34">
        <v>236</v>
      </c>
      <c r="B240" s="103">
        <f t="shared" ca="1" si="18"/>
        <v>61646</v>
      </c>
      <c r="C240" s="67">
        <f t="shared" ca="1" si="15"/>
        <v>0.02</v>
      </c>
      <c r="D240" s="103">
        <f t="shared" ca="1" si="16"/>
        <v>5635756</v>
      </c>
      <c r="E240" s="67">
        <f t="shared" ca="1" si="17"/>
        <v>0</v>
      </c>
      <c r="F240" s="21"/>
    </row>
    <row r="241" spans="1:6" x14ac:dyDescent="0.3">
      <c r="A241" s="34">
        <v>237</v>
      </c>
      <c r="B241" s="103">
        <f t="shared" ca="1" si="18"/>
        <v>57446</v>
      </c>
      <c r="C241" s="67">
        <f t="shared" ca="1" si="15"/>
        <v>-0.05</v>
      </c>
      <c r="D241" s="103">
        <f t="shared" ca="1" si="16"/>
        <v>5774191</v>
      </c>
      <c r="E241" s="67">
        <f t="shared" ca="1" si="17"/>
        <v>0.03</v>
      </c>
      <c r="F241" s="21"/>
    </row>
    <row r="242" spans="1:6" x14ac:dyDescent="0.3">
      <c r="A242" s="34">
        <v>238</v>
      </c>
      <c r="B242" s="103">
        <f t="shared" ca="1" si="18"/>
        <v>60891</v>
      </c>
      <c r="C242" s="67">
        <f t="shared" ca="1" si="15"/>
        <v>0.01</v>
      </c>
      <c r="D242" s="103">
        <f t="shared" ca="1" si="16"/>
        <v>5364921</v>
      </c>
      <c r="E242" s="67">
        <f t="shared" ca="1" si="17"/>
        <v>-0.05</v>
      </c>
      <c r="F242" s="21"/>
    </row>
    <row r="243" spans="1:6" x14ac:dyDescent="0.3">
      <c r="A243" s="34">
        <v>239</v>
      </c>
      <c r="B243" s="103">
        <f t="shared" ca="1" si="18"/>
        <v>60868</v>
      </c>
      <c r="C243" s="67">
        <f t="shared" ca="1" si="15"/>
        <v>0.01</v>
      </c>
      <c r="D243" s="103">
        <f t="shared" ca="1" si="16"/>
        <v>5520584</v>
      </c>
      <c r="E243" s="67">
        <f t="shared" ca="1" si="17"/>
        <v>-0.02</v>
      </c>
      <c r="F243" s="21"/>
    </row>
    <row r="244" spans="1:6" x14ac:dyDescent="0.3">
      <c r="A244" s="34">
        <v>240</v>
      </c>
      <c r="B244" s="103">
        <f t="shared" ca="1" si="18"/>
        <v>57145</v>
      </c>
      <c r="C244" s="67">
        <f t="shared" ca="1" si="15"/>
        <v>-0.05</v>
      </c>
      <c r="D244" s="103">
        <f t="shared" ca="1" si="16"/>
        <v>5760327</v>
      </c>
      <c r="E244" s="67">
        <f t="shared" ca="1" si="17"/>
        <v>0.02</v>
      </c>
      <c r="F244" s="21"/>
    </row>
    <row r="245" spans="1:6" x14ac:dyDescent="0.3">
      <c r="A245" s="34">
        <v>241</v>
      </c>
      <c r="B245" s="103">
        <f t="shared" ca="1" si="18"/>
        <v>62952</v>
      </c>
      <c r="C245" s="67">
        <f t="shared" ca="1" si="15"/>
        <v>0.04</v>
      </c>
      <c r="D245" s="103">
        <f t="shared" ca="1" si="16"/>
        <v>5334040</v>
      </c>
      <c r="E245" s="67">
        <f t="shared" ca="1" si="17"/>
        <v>-0.05</v>
      </c>
      <c r="F245" s="21"/>
    </row>
    <row r="246" spans="1:6" x14ac:dyDescent="0.3">
      <c r="A246" s="34">
        <v>242</v>
      </c>
      <c r="B246" s="103">
        <f t="shared" ca="1" si="18"/>
        <v>62819</v>
      </c>
      <c r="C246" s="67">
        <f t="shared" ca="1" si="15"/>
        <v>0.04</v>
      </c>
      <c r="D246" s="103">
        <f t="shared" ca="1" si="16"/>
        <v>5620800</v>
      </c>
      <c r="E246" s="67">
        <f t="shared" ca="1" si="17"/>
        <v>0</v>
      </c>
      <c r="F246" s="21"/>
    </row>
    <row r="247" spans="1:6" x14ac:dyDescent="0.3">
      <c r="A247" s="34">
        <v>243</v>
      </c>
      <c r="B247" s="103">
        <f t="shared" ca="1" si="18"/>
        <v>59548</v>
      </c>
      <c r="C247" s="67">
        <f t="shared" ca="1" si="15"/>
        <v>-0.01</v>
      </c>
      <c r="D247" s="103">
        <f t="shared" ca="1" si="16"/>
        <v>5525803</v>
      </c>
      <c r="E247" s="67">
        <f t="shared" ca="1" si="17"/>
        <v>-0.02</v>
      </c>
      <c r="F247" s="21"/>
    </row>
    <row r="248" spans="1:6" x14ac:dyDescent="0.3">
      <c r="A248" s="34">
        <v>244</v>
      </c>
      <c r="B248" s="103">
        <f t="shared" ca="1" si="18"/>
        <v>61069</v>
      </c>
      <c r="C248" s="67">
        <f t="shared" ca="1" si="15"/>
        <v>0.01</v>
      </c>
      <c r="D248" s="103">
        <f t="shared" ca="1" si="16"/>
        <v>5678907</v>
      </c>
      <c r="E248" s="67">
        <f t="shared" ca="1" si="17"/>
        <v>0.01</v>
      </c>
      <c r="F248" s="21"/>
    </row>
    <row r="249" spans="1:6" x14ac:dyDescent="0.3">
      <c r="A249" s="34">
        <v>245</v>
      </c>
      <c r="B249" s="103">
        <f t="shared" ca="1" si="18"/>
        <v>61364</v>
      </c>
      <c r="C249" s="67">
        <f t="shared" ca="1" si="15"/>
        <v>0.02</v>
      </c>
      <c r="D249" s="103">
        <f t="shared" ca="1" si="16"/>
        <v>5850572</v>
      </c>
      <c r="E249" s="67">
        <f t="shared" ca="1" si="17"/>
        <v>0.04</v>
      </c>
      <c r="F249" s="21"/>
    </row>
    <row r="250" spans="1:6" x14ac:dyDescent="0.3">
      <c r="A250" s="34">
        <v>246</v>
      </c>
      <c r="B250" s="103">
        <f t="shared" ca="1" si="18"/>
        <v>58816</v>
      </c>
      <c r="C250" s="67">
        <f t="shared" ca="1" si="15"/>
        <v>-0.02</v>
      </c>
      <c r="D250" s="103">
        <f t="shared" ca="1" si="16"/>
        <v>5500806</v>
      </c>
      <c r="E250" s="67">
        <f t="shared" ca="1" si="17"/>
        <v>-0.02</v>
      </c>
      <c r="F250" s="21"/>
    </row>
    <row r="251" spans="1:6" x14ac:dyDescent="0.3">
      <c r="A251" s="34">
        <v>247</v>
      </c>
      <c r="B251" s="103">
        <f t="shared" ca="1" si="18"/>
        <v>60484</v>
      </c>
      <c r="C251" s="67">
        <f t="shared" ca="1" si="15"/>
        <v>0</v>
      </c>
      <c r="D251" s="103">
        <f t="shared" ca="1" si="16"/>
        <v>5390139</v>
      </c>
      <c r="E251" s="67">
        <f t="shared" ca="1" si="17"/>
        <v>-0.04</v>
      </c>
      <c r="F251" s="21"/>
    </row>
    <row r="252" spans="1:6" x14ac:dyDescent="0.3">
      <c r="A252" s="34">
        <v>248</v>
      </c>
      <c r="B252" s="103">
        <f t="shared" ca="1" si="18"/>
        <v>58890</v>
      </c>
      <c r="C252" s="67">
        <f t="shared" ca="1" si="15"/>
        <v>-0.02</v>
      </c>
      <c r="D252" s="103">
        <f t="shared" ca="1" si="16"/>
        <v>5569602</v>
      </c>
      <c r="E252" s="67">
        <f t="shared" ca="1" si="17"/>
        <v>-0.01</v>
      </c>
      <c r="F252" s="21"/>
    </row>
    <row r="253" spans="1:6" x14ac:dyDescent="0.3">
      <c r="A253" s="34">
        <v>249</v>
      </c>
      <c r="B253" s="103">
        <f t="shared" ca="1" si="18"/>
        <v>58877</v>
      </c>
      <c r="C253" s="67">
        <f t="shared" ca="1" si="15"/>
        <v>-0.02</v>
      </c>
      <c r="D253" s="103">
        <f t="shared" ca="1" si="16"/>
        <v>5673089</v>
      </c>
      <c r="E253" s="67">
        <f t="shared" ca="1" si="17"/>
        <v>0.01</v>
      </c>
      <c r="F253" s="21"/>
    </row>
    <row r="254" spans="1:6" x14ac:dyDescent="0.3">
      <c r="A254" s="34">
        <v>250</v>
      </c>
      <c r="B254" s="103">
        <f t="shared" ca="1" si="18"/>
        <v>61402</v>
      </c>
      <c r="C254" s="67">
        <f t="shared" ca="1" si="15"/>
        <v>0.02</v>
      </c>
      <c r="D254" s="103">
        <f t="shared" ca="1" si="16"/>
        <v>5595296</v>
      </c>
      <c r="E254" s="67">
        <f t="shared" ca="1" si="17"/>
        <v>-0.01</v>
      </c>
      <c r="F254" s="21"/>
    </row>
    <row r="255" spans="1:6" x14ac:dyDescent="0.3">
      <c r="A255" s="34">
        <v>251</v>
      </c>
      <c r="B255" s="103">
        <f t="shared" ca="1" si="18"/>
        <v>62204</v>
      </c>
      <c r="C255" s="67">
        <f t="shared" ca="1" si="15"/>
        <v>0.03</v>
      </c>
      <c r="D255" s="103">
        <f t="shared" ca="1" si="16"/>
        <v>5473463</v>
      </c>
      <c r="E255" s="67">
        <f t="shared" ca="1" si="17"/>
        <v>-0.03</v>
      </c>
      <c r="F255" s="21"/>
    </row>
    <row r="256" spans="1:6" x14ac:dyDescent="0.3">
      <c r="A256" s="34">
        <v>252</v>
      </c>
      <c r="B256" s="103">
        <f t="shared" ca="1" si="18"/>
        <v>61229</v>
      </c>
      <c r="C256" s="67">
        <f t="shared" ca="1" si="15"/>
        <v>0.02</v>
      </c>
      <c r="D256" s="103">
        <f t="shared" ca="1" si="16"/>
        <v>5642190</v>
      </c>
      <c r="E256" s="67">
        <f t="shared" ca="1" si="17"/>
        <v>0</v>
      </c>
      <c r="F256" s="21"/>
    </row>
    <row r="257" spans="1:6" x14ac:dyDescent="0.3">
      <c r="A257" s="34">
        <v>253</v>
      </c>
      <c r="B257" s="103">
        <f t="shared" ca="1" si="18"/>
        <v>58217</v>
      </c>
      <c r="C257" s="67">
        <f t="shared" ca="1" si="15"/>
        <v>-0.03</v>
      </c>
      <c r="D257" s="103">
        <f t="shared" ca="1" si="16"/>
        <v>5856835</v>
      </c>
      <c r="E257" s="67">
        <f t="shared" ca="1" si="17"/>
        <v>0.04</v>
      </c>
      <c r="F257" s="21"/>
    </row>
    <row r="258" spans="1:6" x14ac:dyDescent="0.3">
      <c r="A258" s="34">
        <v>254</v>
      </c>
      <c r="B258" s="103">
        <f t="shared" ca="1" si="18"/>
        <v>61364</v>
      </c>
      <c r="C258" s="67">
        <f t="shared" ca="1" si="15"/>
        <v>0.02</v>
      </c>
      <c r="D258" s="103">
        <f t="shared" ca="1" si="16"/>
        <v>5760906</v>
      </c>
      <c r="E258" s="67">
        <f t="shared" ca="1" si="17"/>
        <v>0.02</v>
      </c>
      <c r="F258" s="21"/>
    </row>
    <row r="259" spans="1:6" x14ac:dyDescent="0.3">
      <c r="A259" s="34">
        <v>255</v>
      </c>
      <c r="B259" s="103">
        <f t="shared" ca="1" si="18"/>
        <v>62353</v>
      </c>
      <c r="C259" s="67">
        <f t="shared" ca="1" si="15"/>
        <v>0.03</v>
      </c>
      <c r="D259" s="103">
        <f t="shared" ca="1" si="16"/>
        <v>5374975</v>
      </c>
      <c r="E259" s="67">
        <f t="shared" ca="1" si="17"/>
        <v>-0.05</v>
      </c>
      <c r="F259" s="21"/>
    </row>
    <row r="260" spans="1:6" x14ac:dyDescent="0.3">
      <c r="A260" s="34">
        <v>256</v>
      </c>
      <c r="B260" s="103">
        <f t="shared" ca="1" si="18"/>
        <v>62984</v>
      </c>
      <c r="C260" s="67">
        <f t="shared" ca="1" si="15"/>
        <v>0.04</v>
      </c>
      <c r="D260" s="103">
        <f t="shared" ca="1" si="16"/>
        <v>5814759</v>
      </c>
      <c r="E260" s="67">
        <f t="shared" ca="1" si="17"/>
        <v>0.03</v>
      </c>
      <c r="F260" s="21"/>
    </row>
    <row r="261" spans="1:6" x14ac:dyDescent="0.3">
      <c r="A261" s="34">
        <v>257</v>
      </c>
      <c r="B261" s="103">
        <f t="shared" ca="1" si="18"/>
        <v>62471</v>
      </c>
      <c r="C261" s="67">
        <f t="shared" ref="C261:C324" ca="1" si="19">_xlfn.XLOOKUP(B261,selling_price_range,Range,"",-1)</f>
        <v>0.04</v>
      </c>
      <c r="D261" s="103">
        <f t="shared" ref="D261:D324" ca="1" si="20">RANDBETWEEN($P$5*(1+$G$5),$P$5*(1+$G$15))</f>
        <v>5496557</v>
      </c>
      <c r="E261" s="67">
        <f t="shared" ref="E261:E324" ca="1" si="21">_xlfn.XLOOKUP(D261,expenses_range,Range,"",-1)</f>
        <v>-0.02</v>
      </c>
      <c r="F261" s="21"/>
    </row>
    <row r="262" spans="1:6" x14ac:dyDescent="0.3">
      <c r="A262" s="34">
        <v>258</v>
      </c>
      <c r="B262" s="103">
        <f t="shared" ref="B262:B325" ca="1" si="22">RANDBETWEEN($P$4*(1+$G$5),$P$4*(1+$G$15))</f>
        <v>61816</v>
      </c>
      <c r="C262" s="67">
        <f t="shared" ca="1" si="19"/>
        <v>0.03</v>
      </c>
      <c r="D262" s="103">
        <f t="shared" ca="1" si="20"/>
        <v>5326837</v>
      </c>
      <c r="E262" s="67">
        <f t="shared" ca="1" si="21"/>
        <v>-0.05</v>
      </c>
      <c r="F262" s="21"/>
    </row>
    <row r="263" spans="1:6" x14ac:dyDescent="0.3">
      <c r="A263" s="34">
        <v>259</v>
      </c>
      <c r="B263" s="103">
        <f t="shared" ca="1" si="22"/>
        <v>58572</v>
      </c>
      <c r="C263" s="67">
        <f t="shared" ca="1" si="19"/>
        <v>-0.03</v>
      </c>
      <c r="D263" s="103">
        <f t="shared" ca="1" si="20"/>
        <v>5874572</v>
      </c>
      <c r="E263" s="67">
        <f t="shared" ca="1" si="21"/>
        <v>0.04</v>
      </c>
      <c r="F263" s="21"/>
    </row>
    <row r="264" spans="1:6" x14ac:dyDescent="0.3">
      <c r="A264" s="34">
        <v>260</v>
      </c>
      <c r="B264" s="103">
        <f t="shared" ca="1" si="22"/>
        <v>62588</v>
      </c>
      <c r="C264" s="67">
        <f t="shared" ca="1" si="19"/>
        <v>0.04</v>
      </c>
      <c r="D264" s="103">
        <f t="shared" ca="1" si="20"/>
        <v>5810039</v>
      </c>
      <c r="E264" s="67">
        <f t="shared" ca="1" si="21"/>
        <v>0.03</v>
      </c>
      <c r="F264" s="21"/>
    </row>
    <row r="265" spans="1:6" x14ac:dyDescent="0.3">
      <c r="A265" s="34">
        <v>261</v>
      </c>
      <c r="B265" s="103">
        <f t="shared" ca="1" si="22"/>
        <v>60639</v>
      </c>
      <c r="C265" s="67">
        <f t="shared" ca="1" si="19"/>
        <v>0.01</v>
      </c>
      <c r="D265" s="103">
        <f t="shared" ca="1" si="20"/>
        <v>5590359</v>
      </c>
      <c r="E265" s="67">
        <f t="shared" ca="1" si="21"/>
        <v>-0.01</v>
      </c>
      <c r="F265" s="21"/>
    </row>
    <row r="266" spans="1:6" x14ac:dyDescent="0.3">
      <c r="A266" s="34">
        <v>262</v>
      </c>
      <c r="B266" s="103">
        <f t="shared" ca="1" si="22"/>
        <v>57304</v>
      </c>
      <c r="C266" s="67">
        <f t="shared" ca="1" si="19"/>
        <v>-0.05</v>
      </c>
      <c r="D266" s="103">
        <f t="shared" ca="1" si="20"/>
        <v>5355326</v>
      </c>
      <c r="E266" s="67">
        <f t="shared" ca="1" si="21"/>
        <v>-0.05</v>
      </c>
      <c r="F266" s="21"/>
    </row>
    <row r="267" spans="1:6" x14ac:dyDescent="0.3">
      <c r="A267" s="34">
        <v>263</v>
      </c>
      <c r="B267" s="103">
        <f t="shared" ca="1" si="22"/>
        <v>62293</v>
      </c>
      <c r="C267" s="67">
        <f t="shared" ca="1" si="19"/>
        <v>0.03</v>
      </c>
      <c r="D267" s="103">
        <f t="shared" ca="1" si="20"/>
        <v>5360097</v>
      </c>
      <c r="E267" s="67">
        <f t="shared" ca="1" si="21"/>
        <v>-0.05</v>
      </c>
      <c r="F267" s="21"/>
    </row>
    <row r="268" spans="1:6" x14ac:dyDescent="0.3">
      <c r="A268" s="34">
        <v>264</v>
      </c>
      <c r="B268" s="103">
        <f t="shared" ca="1" si="22"/>
        <v>60448</v>
      </c>
      <c r="C268" s="67">
        <f t="shared" ca="1" si="19"/>
        <v>0</v>
      </c>
      <c r="D268" s="103">
        <f t="shared" ca="1" si="20"/>
        <v>5761301</v>
      </c>
      <c r="E268" s="67">
        <f t="shared" ca="1" si="21"/>
        <v>0.02</v>
      </c>
      <c r="F268" s="21"/>
    </row>
    <row r="269" spans="1:6" x14ac:dyDescent="0.3">
      <c r="A269" s="34">
        <v>265</v>
      </c>
      <c r="B269" s="103">
        <f t="shared" ca="1" si="22"/>
        <v>58945</v>
      </c>
      <c r="C269" s="67">
        <f t="shared" ca="1" si="19"/>
        <v>-0.02</v>
      </c>
      <c r="D269" s="103">
        <f t="shared" ca="1" si="20"/>
        <v>5811453</v>
      </c>
      <c r="E269" s="67">
        <f t="shared" ca="1" si="21"/>
        <v>0.03</v>
      </c>
      <c r="F269" s="21"/>
    </row>
    <row r="270" spans="1:6" x14ac:dyDescent="0.3">
      <c r="A270" s="34">
        <v>266</v>
      </c>
      <c r="B270" s="103">
        <f t="shared" ca="1" si="22"/>
        <v>58081</v>
      </c>
      <c r="C270" s="67">
        <f t="shared" ca="1" si="19"/>
        <v>-0.04</v>
      </c>
      <c r="D270" s="103">
        <f t="shared" ca="1" si="20"/>
        <v>5397077</v>
      </c>
      <c r="E270" s="67">
        <f t="shared" ca="1" si="21"/>
        <v>-0.04</v>
      </c>
      <c r="F270" s="21"/>
    </row>
    <row r="271" spans="1:6" x14ac:dyDescent="0.3">
      <c r="A271" s="34">
        <v>267</v>
      </c>
      <c r="B271" s="103">
        <f t="shared" ca="1" si="22"/>
        <v>60684</v>
      </c>
      <c r="C271" s="67">
        <f t="shared" ca="1" si="19"/>
        <v>0.01</v>
      </c>
      <c r="D271" s="103">
        <f t="shared" ca="1" si="20"/>
        <v>5671977</v>
      </c>
      <c r="E271" s="67">
        <f t="shared" ca="1" si="21"/>
        <v>0.01</v>
      </c>
      <c r="F271" s="21"/>
    </row>
    <row r="272" spans="1:6" x14ac:dyDescent="0.3">
      <c r="A272" s="34">
        <v>268</v>
      </c>
      <c r="B272" s="103">
        <f t="shared" ca="1" si="22"/>
        <v>57111</v>
      </c>
      <c r="C272" s="67">
        <f t="shared" ca="1" si="19"/>
        <v>-0.05</v>
      </c>
      <c r="D272" s="103">
        <f t="shared" ca="1" si="20"/>
        <v>5515473</v>
      </c>
      <c r="E272" s="67">
        <f t="shared" ca="1" si="21"/>
        <v>-0.02</v>
      </c>
      <c r="F272" s="21"/>
    </row>
    <row r="273" spans="1:6" x14ac:dyDescent="0.3">
      <c r="A273" s="34">
        <v>269</v>
      </c>
      <c r="B273" s="103">
        <f t="shared" ca="1" si="22"/>
        <v>62935</v>
      </c>
      <c r="C273" s="67">
        <f t="shared" ca="1" si="19"/>
        <v>0.04</v>
      </c>
      <c r="D273" s="103">
        <f t="shared" ca="1" si="20"/>
        <v>5675330</v>
      </c>
      <c r="E273" s="67">
        <f t="shared" ca="1" si="21"/>
        <v>0.01</v>
      </c>
      <c r="F273" s="21"/>
    </row>
    <row r="274" spans="1:6" x14ac:dyDescent="0.3">
      <c r="A274" s="34">
        <v>270</v>
      </c>
      <c r="B274" s="103">
        <f t="shared" ca="1" si="22"/>
        <v>57600</v>
      </c>
      <c r="C274" s="67">
        <f t="shared" ca="1" si="19"/>
        <v>-0.04</v>
      </c>
      <c r="D274" s="103">
        <f t="shared" ca="1" si="20"/>
        <v>5402202</v>
      </c>
      <c r="E274" s="67">
        <f t="shared" ca="1" si="21"/>
        <v>-0.04</v>
      </c>
      <c r="F274" s="21"/>
    </row>
    <row r="275" spans="1:6" x14ac:dyDescent="0.3">
      <c r="A275" s="34">
        <v>271</v>
      </c>
      <c r="B275" s="103">
        <f t="shared" ca="1" si="22"/>
        <v>62351</v>
      </c>
      <c r="C275" s="67">
        <f t="shared" ca="1" si="19"/>
        <v>0.03</v>
      </c>
      <c r="D275" s="103">
        <f t="shared" ca="1" si="20"/>
        <v>5504999</v>
      </c>
      <c r="E275" s="67">
        <f t="shared" ca="1" si="21"/>
        <v>-0.02</v>
      </c>
      <c r="F275" s="21"/>
    </row>
    <row r="276" spans="1:6" x14ac:dyDescent="0.3">
      <c r="A276" s="34">
        <v>272</v>
      </c>
      <c r="B276" s="103">
        <f t="shared" ca="1" si="22"/>
        <v>57167</v>
      </c>
      <c r="C276" s="67">
        <f t="shared" ca="1" si="19"/>
        <v>-0.05</v>
      </c>
      <c r="D276" s="103">
        <f t="shared" ca="1" si="20"/>
        <v>5426834</v>
      </c>
      <c r="E276" s="67">
        <f t="shared" ca="1" si="21"/>
        <v>-0.04</v>
      </c>
      <c r="F276" s="21"/>
    </row>
    <row r="277" spans="1:6" x14ac:dyDescent="0.3">
      <c r="A277" s="34">
        <v>273</v>
      </c>
      <c r="B277" s="103">
        <f t="shared" ca="1" si="22"/>
        <v>60398</v>
      </c>
      <c r="C277" s="67">
        <f t="shared" ca="1" si="19"/>
        <v>0</v>
      </c>
      <c r="D277" s="103">
        <f t="shared" ca="1" si="20"/>
        <v>5456034</v>
      </c>
      <c r="E277" s="67">
        <f t="shared" ca="1" si="21"/>
        <v>-0.03</v>
      </c>
      <c r="F277" s="21"/>
    </row>
    <row r="278" spans="1:6" x14ac:dyDescent="0.3">
      <c r="A278" s="34">
        <v>274</v>
      </c>
      <c r="B278" s="103">
        <f t="shared" ca="1" si="22"/>
        <v>58946</v>
      </c>
      <c r="C278" s="67">
        <f t="shared" ca="1" si="19"/>
        <v>-0.02</v>
      </c>
      <c r="D278" s="103">
        <f t="shared" ca="1" si="20"/>
        <v>5459425</v>
      </c>
      <c r="E278" s="67">
        <f t="shared" ca="1" si="21"/>
        <v>-0.03</v>
      </c>
      <c r="F278" s="21"/>
    </row>
    <row r="279" spans="1:6" x14ac:dyDescent="0.3">
      <c r="A279" s="34">
        <v>275</v>
      </c>
      <c r="B279" s="103">
        <f t="shared" ca="1" si="22"/>
        <v>59892</v>
      </c>
      <c r="C279" s="67">
        <f t="shared" ca="1" si="19"/>
        <v>-0.01</v>
      </c>
      <c r="D279" s="103">
        <f t="shared" ca="1" si="20"/>
        <v>5409146</v>
      </c>
      <c r="E279" s="67">
        <f t="shared" ca="1" si="21"/>
        <v>-0.04</v>
      </c>
      <c r="F279" s="21"/>
    </row>
    <row r="280" spans="1:6" x14ac:dyDescent="0.3">
      <c r="A280" s="34">
        <v>276</v>
      </c>
      <c r="B280" s="103">
        <f t="shared" ca="1" si="22"/>
        <v>60807</v>
      </c>
      <c r="C280" s="67">
        <f t="shared" ca="1" si="19"/>
        <v>0.01</v>
      </c>
      <c r="D280" s="103">
        <f t="shared" ca="1" si="20"/>
        <v>5560535</v>
      </c>
      <c r="E280" s="67">
        <f t="shared" ca="1" si="21"/>
        <v>-0.01</v>
      </c>
      <c r="F280" s="21"/>
    </row>
    <row r="281" spans="1:6" x14ac:dyDescent="0.3">
      <c r="A281" s="34">
        <v>277</v>
      </c>
      <c r="B281" s="103">
        <f t="shared" ca="1" si="22"/>
        <v>57289</v>
      </c>
      <c r="C281" s="67">
        <f t="shared" ca="1" si="19"/>
        <v>-0.05</v>
      </c>
      <c r="D281" s="103">
        <f t="shared" ca="1" si="20"/>
        <v>5678133</v>
      </c>
      <c r="E281" s="67">
        <f t="shared" ca="1" si="21"/>
        <v>0.01</v>
      </c>
      <c r="F281" s="21"/>
    </row>
    <row r="282" spans="1:6" x14ac:dyDescent="0.3">
      <c r="A282" s="34">
        <v>278</v>
      </c>
      <c r="B282" s="103">
        <f t="shared" ca="1" si="22"/>
        <v>62698</v>
      </c>
      <c r="C282" s="67">
        <f t="shared" ca="1" si="19"/>
        <v>0.04</v>
      </c>
      <c r="D282" s="103">
        <f t="shared" ca="1" si="20"/>
        <v>5814653</v>
      </c>
      <c r="E282" s="67">
        <f t="shared" ca="1" si="21"/>
        <v>0.03</v>
      </c>
      <c r="F282" s="21"/>
    </row>
    <row r="283" spans="1:6" x14ac:dyDescent="0.3">
      <c r="A283" s="34">
        <v>279</v>
      </c>
      <c r="B283" s="103">
        <f t="shared" ca="1" si="22"/>
        <v>62024</v>
      </c>
      <c r="C283" s="67">
        <f t="shared" ca="1" si="19"/>
        <v>0.03</v>
      </c>
      <c r="D283" s="103">
        <f t="shared" ca="1" si="20"/>
        <v>5690237</v>
      </c>
      <c r="E283" s="67">
        <f t="shared" ca="1" si="21"/>
        <v>0.01</v>
      </c>
      <c r="F283" s="21"/>
    </row>
    <row r="284" spans="1:6" x14ac:dyDescent="0.3">
      <c r="A284" s="34">
        <v>280</v>
      </c>
      <c r="B284" s="103">
        <f t="shared" ca="1" si="22"/>
        <v>61944</v>
      </c>
      <c r="C284" s="67">
        <f t="shared" ca="1" si="19"/>
        <v>0.03</v>
      </c>
      <c r="D284" s="103">
        <f t="shared" ca="1" si="20"/>
        <v>5398078</v>
      </c>
      <c r="E284" s="67">
        <f t="shared" ca="1" si="21"/>
        <v>-0.04</v>
      </c>
      <c r="F284" s="21"/>
    </row>
    <row r="285" spans="1:6" x14ac:dyDescent="0.3">
      <c r="A285" s="34">
        <v>281</v>
      </c>
      <c r="B285" s="103">
        <f t="shared" ca="1" si="22"/>
        <v>57662</v>
      </c>
      <c r="C285" s="67">
        <f t="shared" ca="1" si="19"/>
        <v>-0.04</v>
      </c>
      <c r="D285" s="103">
        <f t="shared" ca="1" si="20"/>
        <v>5375897</v>
      </c>
      <c r="E285" s="67">
        <f t="shared" ca="1" si="21"/>
        <v>-0.05</v>
      </c>
      <c r="F285" s="21"/>
    </row>
    <row r="286" spans="1:6" x14ac:dyDescent="0.3">
      <c r="A286" s="34">
        <v>282</v>
      </c>
      <c r="B286" s="103">
        <f t="shared" ca="1" si="22"/>
        <v>57164</v>
      </c>
      <c r="C286" s="67">
        <f t="shared" ca="1" si="19"/>
        <v>-0.05</v>
      </c>
      <c r="D286" s="103">
        <f t="shared" ca="1" si="20"/>
        <v>5867704</v>
      </c>
      <c r="E286" s="67">
        <f t="shared" ca="1" si="21"/>
        <v>0.04</v>
      </c>
      <c r="F286" s="21"/>
    </row>
    <row r="287" spans="1:6" x14ac:dyDescent="0.3">
      <c r="A287" s="34">
        <v>283</v>
      </c>
      <c r="B287" s="103">
        <f t="shared" ca="1" si="22"/>
        <v>57950</v>
      </c>
      <c r="C287" s="67">
        <f t="shared" ca="1" si="19"/>
        <v>-0.04</v>
      </c>
      <c r="D287" s="103">
        <f t="shared" ca="1" si="20"/>
        <v>5547039</v>
      </c>
      <c r="E287" s="67">
        <f t="shared" ca="1" si="21"/>
        <v>-0.02</v>
      </c>
      <c r="F287" s="21"/>
    </row>
    <row r="288" spans="1:6" x14ac:dyDescent="0.3">
      <c r="A288" s="34">
        <v>284</v>
      </c>
      <c r="B288" s="103">
        <f t="shared" ca="1" si="22"/>
        <v>59291</v>
      </c>
      <c r="C288" s="67">
        <f t="shared" ca="1" si="19"/>
        <v>-0.02</v>
      </c>
      <c r="D288" s="103">
        <f t="shared" ca="1" si="20"/>
        <v>5635887</v>
      </c>
      <c r="E288" s="67">
        <f t="shared" ca="1" si="21"/>
        <v>0</v>
      </c>
      <c r="F288" s="21"/>
    </row>
    <row r="289" spans="1:6" x14ac:dyDescent="0.3">
      <c r="A289" s="34">
        <v>285</v>
      </c>
      <c r="B289" s="103">
        <f t="shared" ca="1" si="22"/>
        <v>57933</v>
      </c>
      <c r="C289" s="67">
        <f t="shared" ca="1" si="19"/>
        <v>-0.04</v>
      </c>
      <c r="D289" s="103">
        <f t="shared" ca="1" si="20"/>
        <v>5502333</v>
      </c>
      <c r="E289" s="67">
        <f t="shared" ca="1" si="21"/>
        <v>-0.02</v>
      </c>
      <c r="F289" s="21"/>
    </row>
    <row r="290" spans="1:6" x14ac:dyDescent="0.3">
      <c r="A290" s="34">
        <v>286</v>
      </c>
      <c r="B290" s="103">
        <f t="shared" ca="1" si="22"/>
        <v>58345</v>
      </c>
      <c r="C290" s="67">
        <f t="shared" ca="1" si="19"/>
        <v>-0.03</v>
      </c>
      <c r="D290" s="103">
        <f t="shared" ca="1" si="20"/>
        <v>5865309</v>
      </c>
      <c r="E290" s="67">
        <f t="shared" ca="1" si="21"/>
        <v>0.04</v>
      </c>
      <c r="F290" s="21"/>
    </row>
    <row r="291" spans="1:6" x14ac:dyDescent="0.3">
      <c r="A291" s="34">
        <v>287</v>
      </c>
      <c r="B291" s="103">
        <f t="shared" ca="1" si="22"/>
        <v>60226</v>
      </c>
      <c r="C291" s="67">
        <f t="shared" ca="1" si="19"/>
        <v>0</v>
      </c>
      <c r="D291" s="103">
        <f t="shared" ca="1" si="20"/>
        <v>5788275</v>
      </c>
      <c r="E291" s="67">
        <f t="shared" ca="1" si="21"/>
        <v>0.03</v>
      </c>
      <c r="F291" s="21"/>
    </row>
    <row r="292" spans="1:6" x14ac:dyDescent="0.3">
      <c r="A292" s="34">
        <v>288</v>
      </c>
      <c r="B292" s="103">
        <f t="shared" ca="1" si="22"/>
        <v>58309</v>
      </c>
      <c r="C292" s="67">
        <f t="shared" ca="1" si="19"/>
        <v>-0.03</v>
      </c>
      <c r="D292" s="103">
        <f t="shared" ca="1" si="20"/>
        <v>5818994</v>
      </c>
      <c r="E292" s="67">
        <f t="shared" ca="1" si="21"/>
        <v>0.03</v>
      </c>
      <c r="F292" s="21"/>
    </row>
    <row r="293" spans="1:6" x14ac:dyDescent="0.3">
      <c r="A293" s="34">
        <v>289</v>
      </c>
      <c r="B293" s="103">
        <f t="shared" ca="1" si="22"/>
        <v>58993</v>
      </c>
      <c r="C293" s="67">
        <f t="shared" ca="1" si="19"/>
        <v>-0.02</v>
      </c>
      <c r="D293" s="103">
        <f t="shared" ca="1" si="20"/>
        <v>5387405</v>
      </c>
      <c r="E293" s="67">
        <f t="shared" ca="1" si="21"/>
        <v>-0.04</v>
      </c>
      <c r="F293" s="21"/>
    </row>
    <row r="294" spans="1:6" x14ac:dyDescent="0.3">
      <c r="A294" s="34">
        <v>290</v>
      </c>
      <c r="B294" s="103">
        <f t="shared" ca="1" si="22"/>
        <v>58094</v>
      </c>
      <c r="C294" s="67">
        <f t="shared" ca="1" si="19"/>
        <v>-0.04</v>
      </c>
      <c r="D294" s="103">
        <f t="shared" ca="1" si="20"/>
        <v>5827784</v>
      </c>
      <c r="E294" s="67">
        <f t="shared" ca="1" si="21"/>
        <v>0.03</v>
      </c>
      <c r="F294" s="21"/>
    </row>
    <row r="295" spans="1:6" x14ac:dyDescent="0.3">
      <c r="A295" s="34">
        <v>291</v>
      </c>
      <c r="B295" s="103">
        <f t="shared" ca="1" si="22"/>
        <v>57993</v>
      </c>
      <c r="C295" s="67">
        <f t="shared" ca="1" si="19"/>
        <v>-0.04</v>
      </c>
      <c r="D295" s="103">
        <f t="shared" ca="1" si="20"/>
        <v>5386079</v>
      </c>
      <c r="E295" s="67">
        <f t="shared" ca="1" si="21"/>
        <v>-0.04</v>
      </c>
      <c r="F295" s="21"/>
    </row>
    <row r="296" spans="1:6" x14ac:dyDescent="0.3">
      <c r="A296" s="34">
        <v>292</v>
      </c>
      <c r="B296" s="103">
        <f t="shared" ca="1" si="22"/>
        <v>58132</v>
      </c>
      <c r="C296" s="67">
        <f t="shared" ca="1" si="19"/>
        <v>-0.04</v>
      </c>
      <c r="D296" s="103">
        <f t="shared" ca="1" si="20"/>
        <v>5843493</v>
      </c>
      <c r="E296" s="67">
        <f t="shared" ca="1" si="21"/>
        <v>0.04</v>
      </c>
      <c r="F296" s="21"/>
    </row>
    <row r="297" spans="1:6" x14ac:dyDescent="0.3">
      <c r="A297" s="34">
        <v>293</v>
      </c>
      <c r="B297" s="103">
        <f t="shared" ca="1" si="22"/>
        <v>58583</v>
      </c>
      <c r="C297" s="67">
        <f t="shared" ca="1" si="19"/>
        <v>-0.03</v>
      </c>
      <c r="D297" s="103">
        <f t="shared" ca="1" si="20"/>
        <v>5799447</v>
      </c>
      <c r="E297" s="67">
        <f t="shared" ca="1" si="21"/>
        <v>0.03</v>
      </c>
      <c r="F297" s="21"/>
    </row>
    <row r="298" spans="1:6" x14ac:dyDescent="0.3">
      <c r="A298" s="34">
        <v>294</v>
      </c>
      <c r="B298" s="103">
        <f t="shared" ca="1" si="22"/>
        <v>60535</v>
      </c>
      <c r="C298" s="67">
        <f t="shared" ca="1" si="19"/>
        <v>0</v>
      </c>
      <c r="D298" s="103">
        <f t="shared" ca="1" si="20"/>
        <v>5617871</v>
      </c>
      <c r="E298" s="67">
        <f t="shared" ca="1" si="21"/>
        <v>0</v>
      </c>
      <c r="F298" s="21"/>
    </row>
    <row r="299" spans="1:6" x14ac:dyDescent="0.3">
      <c r="A299" s="34">
        <v>295</v>
      </c>
      <c r="B299" s="103">
        <f t="shared" ca="1" si="22"/>
        <v>60681</v>
      </c>
      <c r="C299" s="67">
        <f t="shared" ca="1" si="19"/>
        <v>0.01</v>
      </c>
      <c r="D299" s="103">
        <f t="shared" ca="1" si="20"/>
        <v>5562912</v>
      </c>
      <c r="E299" s="67">
        <f t="shared" ca="1" si="21"/>
        <v>-0.01</v>
      </c>
      <c r="F299" s="21"/>
    </row>
    <row r="300" spans="1:6" x14ac:dyDescent="0.3">
      <c r="A300" s="34">
        <v>296</v>
      </c>
      <c r="B300" s="103">
        <f t="shared" ca="1" si="22"/>
        <v>59776</v>
      </c>
      <c r="C300" s="67">
        <f t="shared" ca="1" si="19"/>
        <v>-0.01</v>
      </c>
      <c r="D300" s="103">
        <f t="shared" ca="1" si="20"/>
        <v>5447895</v>
      </c>
      <c r="E300" s="67">
        <f t="shared" ca="1" si="21"/>
        <v>-0.03</v>
      </c>
      <c r="F300" s="21"/>
    </row>
    <row r="301" spans="1:6" x14ac:dyDescent="0.3">
      <c r="A301" s="34">
        <v>297</v>
      </c>
      <c r="B301" s="103">
        <f t="shared" ca="1" si="22"/>
        <v>61081</v>
      </c>
      <c r="C301" s="67">
        <f t="shared" ca="1" si="19"/>
        <v>0.01</v>
      </c>
      <c r="D301" s="103">
        <f t="shared" ca="1" si="20"/>
        <v>5372474</v>
      </c>
      <c r="E301" s="67">
        <f t="shared" ca="1" si="21"/>
        <v>-0.05</v>
      </c>
      <c r="F301" s="21"/>
    </row>
    <row r="302" spans="1:6" x14ac:dyDescent="0.3">
      <c r="A302" s="34">
        <v>298</v>
      </c>
      <c r="B302" s="103">
        <f t="shared" ca="1" si="22"/>
        <v>61925</v>
      </c>
      <c r="C302" s="67">
        <f t="shared" ca="1" si="19"/>
        <v>0.03</v>
      </c>
      <c r="D302" s="103">
        <f t="shared" ca="1" si="20"/>
        <v>5468914</v>
      </c>
      <c r="E302" s="67">
        <f t="shared" ca="1" si="21"/>
        <v>-0.03</v>
      </c>
      <c r="F302" s="21"/>
    </row>
    <row r="303" spans="1:6" x14ac:dyDescent="0.3">
      <c r="A303" s="34">
        <v>299</v>
      </c>
      <c r="B303" s="103">
        <f t="shared" ca="1" si="22"/>
        <v>61735</v>
      </c>
      <c r="C303" s="67">
        <f t="shared" ca="1" si="19"/>
        <v>0.02</v>
      </c>
      <c r="D303" s="103">
        <f t="shared" ca="1" si="20"/>
        <v>5417817</v>
      </c>
      <c r="E303" s="67">
        <f t="shared" ca="1" si="21"/>
        <v>-0.04</v>
      </c>
      <c r="F303" s="21"/>
    </row>
    <row r="304" spans="1:6" x14ac:dyDescent="0.3">
      <c r="A304" s="34">
        <v>300</v>
      </c>
      <c r="B304" s="103">
        <f t="shared" ca="1" si="22"/>
        <v>62375</v>
      </c>
      <c r="C304" s="67">
        <f t="shared" ca="1" si="19"/>
        <v>0.03</v>
      </c>
      <c r="D304" s="103">
        <f t="shared" ca="1" si="20"/>
        <v>5835237</v>
      </c>
      <c r="E304" s="67">
        <f t="shared" ca="1" si="21"/>
        <v>0.04</v>
      </c>
      <c r="F304" s="21"/>
    </row>
    <row r="305" spans="1:6" x14ac:dyDescent="0.3">
      <c r="A305" s="34">
        <v>301</v>
      </c>
      <c r="B305" s="103">
        <f t="shared" ca="1" si="22"/>
        <v>59579</v>
      </c>
      <c r="C305" s="67">
        <f t="shared" ca="1" si="19"/>
        <v>-0.01</v>
      </c>
      <c r="D305" s="103">
        <f t="shared" ca="1" si="20"/>
        <v>5867619</v>
      </c>
      <c r="E305" s="67">
        <f t="shared" ca="1" si="21"/>
        <v>0.04</v>
      </c>
      <c r="F305" s="21"/>
    </row>
    <row r="306" spans="1:6" x14ac:dyDescent="0.3">
      <c r="A306" s="34">
        <v>302</v>
      </c>
      <c r="B306" s="103">
        <f t="shared" ca="1" si="22"/>
        <v>60485</v>
      </c>
      <c r="C306" s="67">
        <f t="shared" ca="1" si="19"/>
        <v>0</v>
      </c>
      <c r="D306" s="103">
        <f t="shared" ca="1" si="20"/>
        <v>5840944</v>
      </c>
      <c r="E306" s="67">
        <f t="shared" ca="1" si="21"/>
        <v>0.04</v>
      </c>
      <c r="F306" s="21"/>
    </row>
    <row r="307" spans="1:6" x14ac:dyDescent="0.3">
      <c r="A307" s="34">
        <v>303</v>
      </c>
      <c r="B307" s="103">
        <f t="shared" ca="1" si="22"/>
        <v>57322</v>
      </c>
      <c r="C307" s="67">
        <f t="shared" ca="1" si="19"/>
        <v>-0.05</v>
      </c>
      <c r="D307" s="103">
        <f t="shared" ca="1" si="20"/>
        <v>5728038</v>
      </c>
      <c r="E307" s="67">
        <f t="shared" ca="1" si="21"/>
        <v>0.02</v>
      </c>
      <c r="F307" s="21"/>
    </row>
    <row r="308" spans="1:6" x14ac:dyDescent="0.3">
      <c r="A308" s="34">
        <v>304</v>
      </c>
      <c r="B308" s="103">
        <f t="shared" ca="1" si="22"/>
        <v>61348</v>
      </c>
      <c r="C308" s="67">
        <f t="shared" ca="1" si="19"/>
        <v>0.02</v>
      </c>
      <c r="D308" s="103">
        <f t="shared" ca="1" si="20"/>
        <v>5694625</v>
      </c>
      <c r="E308" s="67">
        <f t="shared" ca="1" si="21"/>
        <v>0.01</v>
      </c>
      <c r="F308" s="21"/>
    </row>
    <row r="309" spans="1:6" x14ac:dyDescent="0.3">
      <c r="A309" s="34">
        <v>305</v>
      </c>
      <c r="B309" s="103">
        <f t="shared" ca="1" si="22"/>
        <v>61867</v>
      </c>
      <c r="C309" s="67">
        <f t="shared" ca="1" si="19"/>
        <v>0.03</v>
      </c>
      <c r="D309" s="103">
        <f t="shared" ca="1" si="20"/>
        <v>5367595</v>
      </c>
      <c r="E309" s="67">
        <f t="shared" ca="1" si="21"/>
        <v>-0.05</v>
      </c>
      <c r="F309" s="21"/>
    </row>
    <row r="310" spans="1:6" x14ac:dyDescent="0.3">
      <c r="A310" s="34">
        <v>306</v>
      </c>
      <c r="B310" s="103">
        <f t="shared" ca="1" si="22"/>
        <v>58067</v>
      </c>
      <c r="C310" s="67">
        <f t="shared" ca="1" si="19"/>
        <v>-0.04</v>
      </c>
      <c r="D310" s="103">
        <f t="shared" ca="1" si="20"/>
        <v>5742100</v>
      </c>
      <c r="E310" s="67">
        <f t="shared" ca="1" si="21"/>
        <v>0.02</v>
      </c>
      <c r="F310" s="21"/>
    </row>
    <row r="311" spans="1:6" x14ac:dyDescent="0.3">
      <c r="A311" s="34">
        <v>307</v>
      </c>
      <c r="B311" s="103">
        <f t="shared" ca="1" si="22"/>
        <v>62733</v>
      </c>
      <c r="C311" s="67">
        <f t="shared" ca="1" si="19"/>
        <v>0.04</v>
      </c>
      <c r="D311" s="103">
        <f t="shared" ca="1" si="20"/>
        <v>5562151</v>
      </c>
      <c r="E311" s="67">
        <f t="shared" ca="1" si="21"/>
        <v>-0.01</v>
      </c>
      <c r="F311" s="21"/>
    </row>
    <row r="312" spans="1:6" x14ac:dyDescent="0.3">
      <c r="A312" s="34">
        <v>308</v>
      </c>
      <c r="B312" s="103">
        <f t="shared" ca="1" si="22"/>
        <v>62277</v>
      </c>
      <c r="C312" s="67">
        <f t="shared" ca="1" si="19"/>
        <v>0.03</v>
      </c>
      <c r="D312" s="103">
        <f t="shared" ca="1" si="20"/>
        <v>5357100</v>
      </c>
      <c r="E312" s="67">
        <f t="shared" ca="1" si="21"/>
        <v>-0.05</v>
      </c>
      <c r="F312" s="21"/>
    </row>
    <row r="313" spans="1:6" x14ac:dyDescent="0.3">
      <c r="A313" s="34">
        <v>309</v>
      </c>
      <c r="B313" s="103">
        <f t="shared" ca="1" si="22"/>
        <v>60107</v>
      </c>
      <c r="C313" s="67">
        <f t="shared" ca="1" si="19"/>
        <v>0</v>
      </c>
      <c r="D313" s="103">
        <f t="shared" ca="1" si="20"/>
        <v>5458622</v>
      </c>
      <c r="E313" s="67">
        <f t="shared" ca="1" si="21"/>
        <v>-0.03</v>
      </c>
      <c r="F313" s="21"/>
    </row>
    <row r="314" spans="1:6" x14ac:dyDescent="0.3">
      <c r="A314" s="34">
        <v>310</v>
      </c>
      <c r="B314" s="103">
        <f t="shared" ca="1" si="22"/>
        <v>61251</v>
      </c>
      <c r="C314" s="67">
        <f t="shared" ca="1" si="19"/>
        <v>0.02</v>
      </c>
      <c r="D314" s="103">
        <f t="shared" ca="1" si="20"/>
        <v>5834441</v>
      </c>
      <c r="E314" s="67">
        <f t="shared" ca="1" si="21"/>
        <v>0.04</v>
      </c>
      <c r="F314" s="21"/>
    </row>
    <row r="315" spans="1:6" x14ac:dyDescent="0.3">
      <c r="A315" s="34">
        <v>311</v>
      </c>
      <c r="B315" s="103">
        <f t="shared" ca="1" si="22"/>
        <v>57722</v>
      </c>
      <c r="C315" s="67">
        <f t="shared" ca="1" si="19"/>
        <v>-0.04</v>
      </c>
      <c r="D315" s="103">
        <f t="shared" ca="1" si="20"/>
        <v>5857316</v>
      </c>
      <c r="E315" s="67">
        <f t="shared" ca="1" si="21"/>
        <v>0.04</v>
      </c>
      <c r="F315" s="21"/>
    </row>
    <row r="316" spans="1:6" x14ac:dyDescent="0.3">
      <c r="A316" s="34">
        <v>312</v>
      </c>
      <c r="B316" s="103">
        <f t="shared" ca="1" si="22"/>
        <v>60867</v>
      </c>
      <c r="C316" s="67">
        <f t="shared" ca="1" si="19"/>
        <v>0.01</v>
      </c>
      <c r="D316" s="103">
        <f t="shared" ca="1" si="20"/>
        <v>5669449</v>
      </c>
      <c r="E316" s="67">
        <f t="shared" ca="1" si="21"/>
        <v>0.01</v>
      </c>
      <c r="F316" s="21"/>
    </row>
    <row r="317" spans="1:6" x14ac:dyDescent="0.3">
      <c r="A317" s="34">
        <v>313</v>
      </c>
      <c r="B317" s="103">
        <f t="shared" ca="1" si="22"/>
        <v>59916</v>
      </c>
      <c r="C317" s="67">
        <f t="shared" ca="1" si="19"/>
        <v>-0.01</v>
      </c>
      <c r="D317" s="103">
        <f t="shared" ca="1" si="20"/>
        <v>5474882</v>
      </c>
      <c r="E317" s="67">
        <f t="shared" ca="1" si="21"/>
        <v>-0.03</v>
      </c>
      <c r="F317" s="21"/>
    </row>
    <row r="318" spans="1:6" x14ac:dyDescent="0.3">
      <c r="A318" s="34">
        <v>314</v>
      </c>
      <c r="B318" s="103">
        <f t="shared" ca="1" si="22"/>
        <v>59842</v>
      </c>
      <c r="C318" s="67">
        <f t="shared" ca="1" si="19"/>
        <v>-0.01</v>
      </c>
      <c r="D318" s="103">
        <f t="shared" ca="1" si="20"/>
        <v>5544118</v>
      </c>
      <c r="E318" s="67">
        <f t="shared" ca="1" si="21"/>
        <v>-0.02</v>
      </c>
      <c r="F318" s="21"/>
    </row>
    <row r="319" spans="1:6" x14ac:dyDescent="0.3">
      <c r="A319" s="34">
        <v>315</v>
      </c>
      <c r="B319" s="103">
        <f t="shared" ca="1" si="22"/>
        <v>57467</v>
      </c>
      <c r="C319" s="67">
        <f t="shared" ca="1" si="19"/>
        <v>-0.05</v>
      </c>
      <c r="D319" s="103">
        <f t="shared" ca="1" si="20"/>
        <v>5696559</v>
      </c>
      <c r="E319" s="67">
        <f t="shared" ca="1" si="21"/>
        <v>0.01</v>
      </c>
      <c r="F319" s="21"/>
    </row>
    <row r="320" spans="1:6" x14ac:dyDescent="0.3">
      <c r="A320" s="34">
        <v>316</v>
      </c>
      <c r="B320" s="103">
        <f t="shared" ca="1" si="22"/>
        <v>58245</v>
      </c>
      <c r="C320" s="67">
        <f t="shared" ca="1" si="19"/>
        <v>-0.03</v>
      </c>
      <c r="D320" s="103">
        <f t="shared" ca="1" si="20"/>
        <v>5880694</v>
      </c>
      <c r="E320" s="67">
        <f t="shared" ca="1" si="21"/>
        <v>0.04</v>
      </c>
      <c r="F320" s="21"/>
    </row>
    <row r="321" spans="1:6" x14ac:dyDescent="0.3">
      <c r="A321" s="34">
        <v>317</v>
      </c>
      <c r="B321" s="103">
        <f t="shared" ca="1" si="22"/>
        <v>57690</v>
      </c>
      <c r="C321" s="67">
        <f t="shared" ca="1" si="19"/>
        <v>-0.04</v>
      </c>
      <c r="D321" s="103">
        <f t="shared" ca="1" si="20"/>
        <v>5512504</v>
      </c>
      <c r="E321" s="67">
        <f t="shared" ca="1" si="21"/>
        <v>-0.02</v>
      </c>
      <c r="F321" s="21"/>
    </row>
    <row r="322" spans="1:6" x14ac:dyDescent="0.3">
      <c r="A322" s="34">
        <v>318</v>
      </c>
      <c r="B322" s="103">
        <f t="shared" ca="1" si="22"/>
        <v>59113</v>
      </c>
      <c r="C322" s="67">
        <f t="shared" ca="1" si="19"/>
        <v>-0.02</v>
      </c>
      <c r="D322" s="103">
        <f t="shared" ca="1" si="20"/>
        <v>5482208</v>
      </c>
      <c r="E322" s="67">
        <f t="shared" ca="1" si="21"/>
        <v>-0.03</v>
      </c>
      <c r="F322" s="21"/>
    </row>
    <row r="323" spans="1:6" x14ac:dyDescent="0.3">
      <c r="A323" s="34">
        <v>319</v>
      </c>
      <c r="B323" s="103">
        <f t="shared" ca="1" si="22"/>
        <v>58192</v>
      </c>
      <c r="C323" s="67">
        <f t="shared" ca="1" si="19"/>
        <v>-0.04</v>
      </c>
      <c r="D323" s="103">
        <f t="shared" ca="1" si="20"/>
        <v>5525710</v>
      </c>
      <c r="E323" s="67">
        <f t="shared" ca="1" si="21"/>
        <v>-0.02</v>
      </c>
      <c r="F323" s="21"/>
    </row>
    <row r="324" spans="1:6" x14ac:dyDescent="0.3">
      <c r="A324" s="34">
        <v>320</v>
      </c>
      <c r="B324" s="103">
        <f t="shared" ca="1" si="22"/>
        <v>58383</v>
      </c>
      <c r="C324" s="67">
        <f t="shared" ca="1" si="19"/>
        <v>-0.03</v>
      </c>
      <c r="D324" s="103">
        <f t="shared" ca="1" si="20"/>
        <v>5681927</v>
      </c>
      <c r="E324" s="67">
        <f t="shared" ca="1" si="21"/>
        <v>0.01</v>
      </c>
      <c r="F324" s="21"/>
    </row>
    <row r="325" spans="1:6" x14ac:dyDescent="0.3">
      <c r="A325" s="34">
        <v>321</v>
      </c>
      <c r="B325" s="103">
        <f t="shared" ca="1" si="22"/>
        <v>59123</v>
      </c>
      <c r="C325" s="67">
        <f t="shared" ref="C325:C388" ca="1" si="23">_xlfn.XLOOKUP(B325,selling_price_range,Range,"",-1)</f>
        <v>-0.02</v>
      </c>
      <c r="D325" s="103">
        <f t="shared" ref="D325:D388" ca="1" si="24">RANDBETWEEN($P$5*(1+$G$5),$P$5*(1+$G$15))</f>
        <v>5445067</v>
      </c>
      <c r="E325" s="67">
        <f t="shared" ref="E325:E388" ca="1" si="25">_xlfn.XLOOKUP(D325,expenses_range,Range,"",-1)</f>
        <v>-0.03</v>
      </c>
      <c r="F325" s="21"/>
    </row>
    <row r="326" spans="1:6" x14ac:dyDescent="0.3">
      <c r="A326" s="34">
        <v>322</v>
      </c>
      <c r="B326" s="103">
        <f t="shared" ref="B326:B389" ca="1" si="26">RANDBETWEEN($P$4*(1+$G$5),$P$4*(1+$G$15))</f>
        <v>59124</v>
      </c>
      <c r="C326" s="67">
        <f t="shared" ca="1" si="23"/>
        <v>-0.02</v>
      </c>
      <c r="D326" s="103">
        <f t="shared" ca="1" si="24"/>
        <v>5482233</v>
      </c>
      <c r="E326" s="67">
        <f t="shared" ca="1" si="25"/>
        <v>-0.03</v>
      </c>
      <c r="F326" s="21"/>
    </row>
    <row r="327" spans="1:6" x14ac:dyDescent="0.3">
      <c r="A327" s="34">
        <v>323</v>
      </c>
      <c r="B327" s="103">
        <f t="shared" ca="1" si="26"/>
        <v>58476</v>
      </c>
      <c r="C327" s="67">
        <f t="shared" ca="1" si="23"/>
        <v>-0.03</v>
      </c>
      <c r="D327" s="103">
        <f t="shared" ca="1" si="24"/>
        <v>5565629</v>
      </c>
      <c r="E327" s="67">
        <f t="shared" ca="1" si="25"/>
        <v>-0.01</v>
      </c>
      <c r="F327" s="21"/>
    </row>
    <row r="328" spans="1:6" x14ac:dyDescent="0.3">
      <c r="A328" s="34">
        <v>324</v>
      </c>
      <c r="B328" s="103">
        <f t="shared" ca="1" si="26"/>
        <v>59760</v>
      </c>
      <c r="C328" s="67">
        <f t="shared" ca="1" si="23"/>
        <v>-0.01</v>
      </c>
      <c r="D328" s="103">
        <f t="shared" ca="1" si="24"/>
        <v>5332659</v>
      </c>
      <c r="E328" s="67">
        <f t="shared" ca="1" si="25"/>
        <v>-0.05</v>
      </c>
      <c r="F328" s="21"/>
    </row>
    <row r="329" spans="1:6" x14ac:dyDescent="0.3">
      <c r="A329" s="34">
        <v>325</v>
      </c>
      <c r="B329" s="103">
        <f t="shared" ca="1" si="26"/>
        <v>58185</v>
      </c>
      <c r="C329" s="67">
        <f t="shared" ca="1" si="23"/>
        <v>-0.04</v>
      </c>
      <c r="D329" s="103">
        <f t="shared" ca="1" si="24"/>
        <v>5572703</v>
      </c>
      <c r="E329" s="67">
        <f t="shared" ca="1" si="25"/>
        <v>-0.01</v>
      </c>
      <c r="F329" s="21"/>
    </row>
    <row r="330" spans="1:6" x14ac:dyDescent="0.3">
      <c r="A330" s="34">
        <v>326</v>
      </c>
      <c r="B330" s="103">
        <f t="shared" ca="1" si="26"/>
        <v>57527</v>
      </c>
      <c r="C330" s="67">
        <f t="shared" ca="1" si="23"/>
        <v>-0.05</v>
      </c>
      <c r="D330" s="103">
        <f t="shared" ca="1" si="24"/>
        <v>5550435</v>
      </c>
      <c r="E330" s="67">
        <f t="shared" ca="1" si="25"/>
        <v>-0.01</v>
      </c>
      <c r="F330" s="21"/>
    </row>
    <row r="331" spans="1:6" x14ac:dyDescent="0.3">
      <c r="A331" s="34">
        <v>327</v>
      </c>
      <c r="B331" s="103">
        <f t="shared" ca="1" si="26"/>
        <v>61128</v>
      </c>
      <c r="C331" s="67">
        <f t="shared" ca="1" si="23"/>
        <v>0.01</v>
      </c>
      <c r="D331" s="103">
        <f t="shared" ca="1" si="24"/>
        <v>5564207</v>
      </c>
      <c r="E331" s="67">
        <f t="shared" ca="1" si="25"/>
        <v>-0.01</v>
      </c>
      <c r="F331" s="21"/>
    </row>
    <row r="332" spans="1:6" x14ac:dyDescent="0.3">
      <c r="A332" s="34">
        <v>328</v>
      </c>
      <c r="B332" s="103">
        <f t="shared" ca="1" si="26"/>
        <v>57029</v>
      </c>
      <c r="C332" s="67">
        <f t="shared" ca="1" si="23"/>
        <v>-0.05</v>
      </c>
      <c r="D332" s="103">
        <f t="shared" ca="1" si="24"/>
        <v>5475605</v>
      </c>
      <c r="E332" s="67">
        <f t="shared" ca="1" si="25"/>
        <v>-0.03</v>
      </c>
      <c r="F332" s="21"/>
    </row>
    <row r="333" spans="1:6" x14ac:dyDescent="0.3">
      <c r="A333" s="34">
        <v>329</v>
      </c>
      <c r="B333" s="103">
        <f t="shared" ca="1" si="26"/>
        <v>61903</v>
      </c>
      <c r="C333" s="67">
        <f t="shared" ca="1" si="23"/>
        <v>0.03</v>
      </c>
      <c r="D333" s="103">
        <f t="shared" ca="1" si="24"/>
        <v>5357812</v>
      </c>
      <c r="E333" s="67">
        <f t="shared" ca="1" si="25"/>
        <v>-0.05</v>
      </c>
      <c r="F333" s="21"/>
    </row>
    <row r="334" spans="1:6" x14ac:dyDescent="0.3">
      <c r="A334" s="34">
        <v>330</v>
      </c>
      <c r="B334" s="103">
        <f t="shared" ca="1" si="26"/>
        <v>57324</v>
      </c>
      <c r="C334" s="67">
        <f t="shared" ca="1" si="23"/>
        <v>-0.05</v>
      </c>
      <c r="D334" s="103">
        <f t="shared" ca="1" si="24"/>
        <v>5456748</v>
      </c>
      <c r="E334" s="67">
        <f t="shared" ca="1" si="25"/>
        <v>-0.03</v>
      </c>
      <c r="F334" s="21"/>
    </row>
    <row r="335" spans="1:6" x14ac:dyDescent="0.3">
      <c r="A335" s="34">
        <v>331</v>
      </c>
      <c r="B335" s="103">
        <f t="shared" ca="1" si="26"/>
        <v>62122</v>
      </c>
      <c r="C335" s="67">
        <f t="shared" ca="1" si="23"/>
        <v>0.03</v>
      </c>
      <c r="D335" s="103">
        <f t="shared" ca="1" si="24"/>
        <v>5677932</v>
      </c>
      <c r="E335" s="67">
        <f t="shared" ca="1" si="25"/>
        <v>0.01</v>
      </c>
      <c r="F335" s="21"/>
    </row>
    <row r="336" spans="1:6" x14ac:dyDescent="0.3">
      <c r="A336" s="34">
        <v>332</v>
      </c>
      <c r="B336" s="103">
        <f t="shared" ca="1" si="26"/>
        <v>60702</v>
      </c>
      <c r="C336" s="67">
        <f t="shared" ca="1" si="23"/>
        <v>0.01</v>
      </c>
      <c r="D336" s="103">
        <f t="shared" ca="1" si="24"/>
        <v>5651172</v>
      </c>
      <c r="E336" s="67">
        <f t="shared" ca="1" si="25"/>
        <v>0</v>
      </c>
      <c r="F336" s="21"/>
    </row>
    <row r="337" spans="1:6" x14ac:dyDescent="0.3">
      <c r="A337" s="34">
        <v>333</v>
      </c>
      <c r="B337" s="103">
        <f t="shared" ca="1" si="26"/>
        <v>61671</v>
      </c>
      <c r="C337" s="67">
        <f t="shared" ca="1" si="23"/>
        <v>0.02</v>
      </c>
      <c r="D337" s="103">
        <f t="shared" ca="1" si="24"/>
        <v>5864764</v>
      </c>
      <c r="E337" s="67">
        <f t="shared" ca="1" si="25"/>
        <v>0.04</v>
      </c>
      <c r="F337" s="21"/>
    </row>
    <row r="338" spans="1:6" x14ac:dyDescent="0.3">
      <c r="A338" s="34">
        <v>334</v>
      </c>
      <c r="B338" s="103">
        <f t="shared" ca="1" si="26"/>
        <v>60368</v>
      </c>
      <c r="C338" s="67">
        <f t="shared" ca="1" si="23"/>
        <v>0</v>
      </c>
      <c r="D338" s="103">
        <f t="shared" ca="1" si="24"/>
        <v>5639298</v>
      </c>
      <c r="E338" s="67">
        <f t="shared" ca="1" si="25"/>
        <v>0</v>
      </c>
      <c r="F338" s="21"/>
    </row>
    <row r="339" spans="1:6" x14ac:dyDescent="0.3">
      <c r="A339" s="34">
        <v>335</v>
      </c>
      <c r="B339" s="103">
        <f t="shared" ca="1" si="26"/>
        <v>62937</v>
      </c>
      <c r="C339" s="67">
        <f t="shared" ca="1" si="23"/>
        <v>0.04</v>
      </c>
      <c r="D339" s="103">
        <f t="shared" ca="1" si="24"/>
        <v>5561717</v>
      </c>
      <c r="E339" s="67">
        <f t="shared" ca="1" si="25"/>
        <v>-0.01</v>
      </c>
      <c r="F339" s="21"/>
    </row>
    <row r="340" spans="1:6" x14ac:dyDescent="0.3">
      <c r="A340" s="34">
        <v>336</v>
      </c>
      <c r="B340" s="103">
        <f t="shared" ca="1" si="26"/>
        <v>61027</v>
      </c>
      <c r="C340" s="67">
        <f t="shared" ca="1" si="23"/>
        <v>0.01</v>
      </c>
      <c r="D340" s="103">
        <f t="shared" ca="1" si="24"/>
        <v>5466889</v>
      </c>
      <c r="E340" s="67">
        <f t="shared" ca="1" si="25"/>
        <v>-0.03</v>
      </c>
      <c r="F340" s="21"/>
    </row>
    <row r="341" spans="1:6" x14ac:dyDescent="0.3">
      <c r="A341" s="34">
        <v>337</v>
      </c>
      <c r="B341" s="103">
        <f t="shared" ca="1" si="26"/>
        <v>59711</v>
      </c>
      <c r="C341" s="67">
        <f t="shared" ca="1" si="23"/>
        <v>-0.01</v>
      </c>
      <c r="D341" s="103">
        <f t="shared" ca="1" si="24"/>
        <v>5879934</v>
      </c>
      <c r="E341" s="67">
        <f t="shared" ca="1" si="25"/>
        <v>0.04</v>
      </c>
      <c r="F341" s="21"/>
    </row>
    <row r="342" spans="1:6" x14ac:dyDescent="0.3">
      <c r="A342" s="34">
        <v>338</v>
      </c>
      <c r="B342" s="103">
        <f t="shared" ca="1" si="26"/>
        <v>61130</v>
      </c>
      <c r="C342" s="67">
        <f t="shared" ca="1" si="23"/>
        <v>0.01</v>
      </c>
      <c r="D342" s="103">
        <f t="shared" ca="1" si="24"/>
        <v>5434432</v>
      </c>
      <c r="E342" s="67">
        <f t="shared" ca="1" si="25"/>
        <v>-0.04</v>
      </c>
      <c r="F342" s="21"/>
    </row>
    <row r="343" spans="1:6" x14ac:dyDescent="0.3">
      <c r="A343" s="34">
        <v>339</v>
      </c>
      <c r="B343" s="103">
        <f t="shared" ca="1" si="26"/>
        <v>57876</v>
      </c>
      <c r="C343" s="67">
        <f t="shared" ca="1" si="23"/>
        <v>-0.04</v>
      </c>
      <c r="D343" s="103">
        <f t="shared" ca="1" si="24"/>
        <v>5653120</v>
      </c>
      <c r="E343" s="67">
        <f t="shared" ca="1" si="25"/>
        <v>0</v>
      </c>
      <c r="F343" s="21"/>
    </row>
    <row r="344" spans="1:6" x14ac:dyDescent="0.3">
      <c r="A344" s="34">
        <v>340</v>
      </c>
      <c r="B344" s="103">
        <f t="shared" ca="1" si="26"/>
        <v>58154</v>
      </c>
      <c r="C344" s="67">
        <f t="shared" ca="1" si="23"/>
        <v>-0.04</v>
      </c>
      <c r="D344" s="103">
        <f t="shared" ca="1" si="24"/>
        <v>5467855</v>
      </c>
      <c r="E344" s="67">
        <f t="shared" ca="1" si="25"/>
        <v>-0.03</v>
      </c>
      <c r="F344" s="21"/>
    </row>
    <row r="345" spans="1:6" x14ac:dyDescent="0.3">
      <c r="A345" s="34">
        <v>341</v>
      </c>
      <c r="B345" s="103">
        <f t="shared" ca="1" si="26"/>
        <v>61077</v>
      </c>
      <c r="C345" s="67">
        <f t="shared" ca="1" si="23"/>
        <v>0.01</v>
      </c>
      <c r="D345" s="103">
        <f t="shared" ca="1" si="24"/>
        <v>5872934</v>
      </c>
      <c r="E345" s="67">
        <f t="shared" ca="1" si="25"/>
        <v>0.04</v>
      </c>
      <c r="F345" s="21"/>
    </row>
    <row r="346" spans="1:6" x14ac:dyDescent="0.3">
      <c r="A346" s="34">
        <v>342</v>
      </c>
      <c r="B346" s="103">
        <f t="shared" ca="1" si="26"/>
        <v>57720</v>
      </c>
      <c r="C346" s="67">
        <f t="shared" ca="1" si="23"/>
        <v>-0.04</v>
      </c>
      <c r="D346" s="103">
        <f t="shared" ca="1" si="24"/>
        <v>5815564</v>
      </c>
      <c r="E346" s="67">
        <f t="shared" ca="1" si="25"/>
        <v>0.03</v>
      </c>
      <c r="F346" s="21"/>
    </row>
    <row r="347" spans="1:6" x14ac:dyDescent="0.3">
      <c r="A347" s="34">
        <v>343</v>
      </c>
      <c r="B347" s="103">
        <f t="shared" ca="1" si="26"/>
        <v>57154</v>
      </c>
      <c r="C347" s="67">
        <f t="shared" ca="1" si="23"/>
        <v>-0.05</v>
      </c>
      <c r="D347" s="103">
        <f t="shared" ca="1" si="24"/>
        <v>5710635</v>
      </c>
      <c r="E347" s="67">
        <f t="shared" ca="1" si="25"/>
        <v>0.01</v>
      </c>
      <c r="F347" s="21"/>
    </row>
    <row r="348" spans="1:6" x14ac:dyDescent="0.3">
      <c r="A348" s="34">
        <v>344</v>
      </c>
      <c r="B348" s="103">
        <f t="shared" ca="1" si="26"/>
        <v>60547</v>
      </c>
      <c r="C348" s="67">
        <f t="shared" ca="1" si="23"/>
        <v>0</v>
      </c>
      <c r="D348" s="103">
        <f t="shared" ca="1" si="24"/>
        <v>5638659</v>
      </c>
      <c r="E348" s="67">
        <f t="shared" ca="1" si="25"/>
        <v>0</v>
      </c>
      <c r="F348" s="21"/>
    </row>
    <row r="349" spans="1:6" x14ac:dyDescent="0.3">
      <c r="A349" s="34">
        <v>345</v>
      </c>
      <c r="B349" s="103">
        <f t="shared" ca="1" si="26"/>
        <v>60922</v>
      </c>
      <c r="C349" s="67">
        <f t="shared" ca="1" si="23"/>
        <v>0.01</v>
      </c>
      <c r="D349" s="103">
        <f t="shared" ca="1" si="24"/>
        <v>5482638</v>
      </c>
      <c r="E349" s="67">
        <f t="shared" ca="1" si="25"/>
        <v>-0.03</v>
      </c>
      <c r="F349" s="21"/>
    </row>
    <row r="350" spans="1:6" x14ac:dyDescent="0.3">
      <c r="A350" s="34">
        <v>346</v>
      </c>
      <c r="B350" s="103">
        <f t="shared" ca="1" si="26"/>
        <v>57885</v>
      </c>
      <c r="C350" s="67">
        <f t="shared" ca="1" si="23"/>
        <v>-0.04</v>
      </c>
      <c r="D350" s="103">
        <f t="shared" ca="1" si="24"/>
        <v>5674093</v>
      </c>
      <c r="E350" s="67">
        <f t="shared" ca="1" si="25"/>
        <v>0.01</v>
      </c>
      <c r="F350" s="21"/>
    </row>
    <row r="351" spans="1:6" x14ac:dyDescent="0.3">
      <c r="A351" s="34">
        <v>347</v>
      </c>
      <c r="B351" s="103">
        <f t="shared" ca="1" si="26"/>
        <v>57160</v>
      </c>
      <c r="C351" s="67">
        <f t="shared" ca="1" si="23"/>
        <v>-0.05</v>
      </c>
      <c r="D351" s="103">
        <f t="shared" ca="1" si="24"/>
        <v>5772769</v>
      </c>
      <c r="E351" s="67">
        <f t="shared" ca="1" si="25"/>
        <v>0.03</v>
      </c>
      <c r="F351" s="21"/>
    </row>
    <row r="352" spans="1:6" x14ac:dyDescent="0.3">
      <c r="A352" s="34">
        <v>348</v>
      </c>
      <c r="B352" s="103">
        <f t="shared" ca="1" si="26"/>
        <v>57473</v>
      </c>
      <c r="C352" s="67">
        <f t="shared" ca="1" si="23"/>
        <v>-0.05</v>
      </c>
      <c r="D352" s="103">
        <f t="shared" ca="1" si="24"/>
        <v>5366050</v>
      </c>
      <c r="E352" s="67">
        <f t="shared" ca="1" si="25"/>
        <v>-0.05</v>
      </c>
      <c r="F352" s="21"/>
    </row>
    <row r="353" spans="1:6" x14ac:dyDescent="0.3">
      <c r="A353" s="34">
        <v>349</v>
      </c>
      <c r="B353" s="103">
        <f t="shared" ca="1" si="26"/>
        <v>61245</v>
      </c>
      <c r="C353" s="67">
        <f t="shared" ca="1" si="23"/>
        <v>0.02</v>
      </c>
      <c r="D353" s="103">
        <f t="shared" ca="1" si="24"/>
        <v>5378804</v>
      </c>
      <c r="E353" s="67">
        <f t="shared" ca="1" si="25"/>
        <v>-0.05</v>
      </c>
      <c r="F353" s="21"/>
    </row>
    <row r="354" spans="1:6" x14ac:dyDescent="0.3">
      <c r="A354" s="34">
        <v>350</v>
      </c>
      <c r="B354" s="103">
        <f t="shared" ca="1" si="26"/>
        <v>58313</v>
      </c>
      <c r="C354" s="67">
        <f t="shared" ca="1" si="23"/>
        <v>-0.03</v>
      </c>
      <c r="D354" s="103">
        <f t="shared" ca="1" si="24"/>
        <v>5610319</v>
      </c>
      <c r="E354" s="67">
        <f t="shared" ca="1" si="25"/>
        <v>0</v>
      </c>
      <c r="F354" s="21"/>
    </row>
    <row r="355" spans="1:6" x14ac:dyDescent="0.3">
      <c r="A355" s="34">
        <v>351</v>
      </c>
      <c r="B355" s="103">
        <f t="shared" ca="1" si="26"/>
        <v>57406</v>
      </c>
      <c r="C355" s="67">
        <f t="shared" ca="1" si="23"/>
        <v>-0.05</v>
      </c>
      <c r="D355" s="103">
        <f t="shared" ca="1" si="24"/>
        <v>5438546</v>
      </c>
      <c r="E355" s="67">
        <f t="shared" ca="1" si="25"/>
        <v>-0.03</v>
      </c>
      <c r="F355" s="21"/>
    </row>
    <row r="356" spans="1:6" x14ac:dyDescent="0.3">
      <c r="A356" s="34">
        <v>352</v>
      </c>
      <c r="B356" s="103">
        <f t="shared" ca="1" si="26"/>
        <v>58605</v>
      </c>
      <c r="C356" s="67">
        <f t="shared" ca="1" si="23"/>
        <v>-0.03</v>
      </c>
      <c r="D356" s="103">
        <f t="shared" ca="1" si="24"/>
        <v>5756743</v>
      </c>
      <c r="E356" s="67">
        <f t="shared" ca="1" si="25"/>
        <v>0.02</v>
      </c>
      <c r="F356" s="21"/>
    </row>
    <row r="357" spans="1:6" x14ac:dyDescent="0.3">
      <c r="A357" s="34">
        <v>353</v>
      </c>
      <c r="B357" s="103">
        <f t="shared" ca="1" si="26"/>
        <v>62407</v>
      </c>
      <c r="C357" s="67">
        <f t="shared" ca="1" si="23"/>
        <v>0.04</v>
      </c>
      <c r="D357" s="103">
        <f t="shared" ca="1" si="24"/>
        <v>5324715</v>
      </c>
      <c r="E357" s="67">
        <f t="shared" ca="1" si="25"/>
        <v>-0.05</v>
      </c>
      <c r="F357" s="21"/>
    </row>
    <row r="358" spans="1:6" x14ac:dyDescent="0.3">
      <c r="A358" s="34">
        <v>354</v>
      </c>
      <c r="B358" s="103">
        <f t="shared" ca="1" si="26"/>
        <v>59870</v>
      </c>
      <c r="C358" s="67">
        <f t="shared" ca="1" si="23"/>
        <v>-0.01</v>
      </c>
      <c r="D358" s="103">
        <f t="shared" ca="1" si="24"/>
        <v>5365982</v>
      </c>
      <c r="E358" s="67">
        <f t="shared" ca="1" si="25"/>
        <v>-0.05</v>
      </c>
      <c r="F358" s="21"/>
    </row>
    <row r="359" spans="1:6" x14ac:dyDescent="0.3">
      <c r="A359" s="34">
        <v>355</v>
      </c>
      <c r="B359" s="103">
        <f t="shared" ca="1" si="26"/>
        <v>57801</v>
      </c>
      <c r="C359" s="67">
        <f t="shared" ca="1" si="23"/>
        <v>-0.04</v>
      </c>
      <c r="D359" s="103">
        <f t="shared" ca="1" si="24"/>
        <v>5883980</v>
      </c>
      <c r="E359" s="67">
        <f t="shared" ca="1" si="25"/>
        <v>0.04</v>
      </c>
      <c r="F359" s="21"/>
    </row>
    <row r="360" spans="1:6" x14ac:dyDescent="0.3">
      <c r="A360" s="34">
        <v>356</v>
      </c>
      <c r="B360" s="103">
        <f t="shared" ca="1" si="26"/>
        <v>57696</v>
      </c>
      <c r="C360" s="67">
        <f t="shared" ca="1" si="23"/>
        <v>-0.04</v>
      </c>
      <c r="D360" s="103">
        <f t="shared" ca="1" si="24"/>
        <v>5713179</v>
      </c>
      <c r="E360" s="67">
        <f t="shared" ca="1" si="25"/>
        <v>0.01</v>
      </c>
      <c r="F360" s="21"/>
    </row>
    <row r="361" spans="1:6" x14ac:dyDescent="0.3">
      <c r="A361" s="34">
        <v>357</v>
      </c>
      <c r="B361" s="103">
        <f t="shared" ca="1" si="26"/>
        <v>62184</v>
      </c>
      <c r="C361" s="67">
        <f t="shared" ca="1" si="23"/>
        <v>0.03</v>
      </c>
      <c r="D361" s="103">
        <f t="shared" ca="1" si="24"/>
        <v>5606032</v>
      </c>
      <c r="E361" s="67">
        <f t="shared" ca="1" si="25"/>
        <v>0</v>
      </c>
      <c r="F361" s="21"/>
    </row>
    <row r="362" spans="1:6" x14ac:dyDescent="0.3">
      <c r="A362" s="34">
        <v>358</v>
      </c>
      <c r="B362" s="103">
        <f t="shared" ca="1" si="26"/>
        <v>60282</v>
      </c>
      <c r="C362" s="67">
        <f t="shared" ca="1" si="23"/>
        <v>0</v>
      </c>
      <c r="D362" s="103">
        <f t="shared" ca="1" si="24"/>
        <v>5637948</v>
      </c>
      <c r="E362" s="67">
        <f t="shared" ca="1" si="25"/>
        <v>0</v>
      </c>
      <c r="F362" s="21"/>
    </row>
    <row r="363" spans="1:6" x14ac:dyDescent="0.3">
      <c r="A363" s="34">
        <v>359</v>
      </c>
      <c r="B363" s="103">
        <f t="shared" ca="1" si="26"/>
        <v>57069</v>
      </c>
      <c r="C363" s="67">
        <f t="shared" ca="1" si="23"/>
        <v>-0.05</v>
      </c>
      <c r="D363" s="103">
        <f t="shared" ca="1" si="24"/>
        <v>5871788</v>
      </c>
      <c r="E363" s="67">
        <f t="shared" ca="1" si="25"/>
        <v>0.04</v>
      </c>
      <c r="F363" s="21"/>
    </row>
    <row r="364" spans="1:6" x14ac:dyDescent="0.3">
      <c r="A364" s="34">
        <v>360</v>
      </c>
      <c r="B364" s="103">
        <f t="shared" ca="1" si="26"/>
        <v>60145</v>
      </c>
      <c r="C364" s="67">
        <f t="shared" ca="1" si="23"/>
        <v>0</v>
      </c>
      <c r="D364" s="103">
        <f t="shared" ca="1" si="24"/>
        <v>5809445</v>
      </c>
      <c r="E364" s="67">
        <f t="shared" ca="1" si="25"/>
        <v>0.03</v>
      </c>
      <c r="F364" s="21"/>
    </row>
    <row r="365" spans="1:6" x14ac:dyDescent="0.3">
      <c r="A365" s="34">
        <v>361</v>
      </c>
      <c r="B365" s="103">
        <f t="shared" ca="1" si="26"/>
        <v>59359</v>
      </c>
      <c r="C365" s="67">
        <f t="shared" ca="1" si="23"/>
        <v>-0.02</v>
      </c>
      <c r="D365" s="103">
        <f t="shared" ca="1" si="24"/>
        <v>5742257</v>
      </c>
      <c r="E365" s="67">
        <f t="shared" ca="1" si="25"/>
        <v>0.02</v>
      </c>
      <c r="F365" s="21"/>
    </row>
    <row r="366" spans="1:6" x14ac:dyDescent="0.3">
      <c r="A366" s="34">
        <v>362</v>
      </c>
      <c r="B366" s="103">
        <f t="shared" ca="1" si="26"/>
        <v>60891</v>
      </c>
      <c r="C366" s="67">
        <f t="shared" ca="1" si="23"/>
        <v>0.01</v>
      </c>
      <c r="D366" s="103">
        <f t="shared" ca="1" si="24"/>
        <v>5750865</v>
      </c>
      <c r="E366" s="67">
        <f t="shared" ca="1" si="25"/>
        <v>0.02</v>
      </c>
      <c r="F366" s="21"/>
    </row>
    <row r="367" spans="1:6" x14ac:dyDescent="0.3">
      <c r="A367" s="34">
        <v>363</v>
      </c>
      <c r="B367" s="103">
        <f t="shared" ca="1" si="26"/>
        <v>57454</v>
      </c>
      <c r="C367" s="67">
        <f t="shared" ca="1" si="23"/>
        <v>-0.05</v>
      </c>
      <c r="D367" s="103">
        <f t="shared" ca="1" si="24"/>
        <v>5452504</v>
      </c>
      <c r="E367" s="67">
        <f t="shared" ca="1" si="25"/>
        <v>-0.03</v>
      </c>
      <c r="F367" s="21"/>
    </row>
    <row r="368" spans="1:6" x14ac:dyDescent="0.3">
      <c r="A368" s="34">
        <v>364</v>
      </c>
      <c r="B368" s="103">
        <f t="shared" ca="1" si="26"/>
        <v>59161</v>
      </c>
      <c r="C368" s="67">
        <f t="shared" ca="1" si="23"/>
        <v>-0.02</v>
      </c>
      <c r="D368" s="103">
        <f t="shared" ca="1" si="24"/>
        <v>5816173</v>
      </c>
      <c r="E368" s="67">
        <f t="shared" ca="1" si="25"/>
        <v>0.03</v>
      </c>
      <c r="F368" s="21"/>
    </row>
    <row r="369" spans="1:6" x14ac:dyDescent="0.3">
      <c r="A369" s="34">
        <v>365</v>
      </c>
      <c r="B369" s="103">
        <f t="shared" ca="1" si="26"/>
        <v>59620</v>
      </c>
      <c r="C369" s="67">
        <f t="shared" ca="1" si="23"/>
        <v>-0.01</v>
      </c>
      <c r="D369" s="103">
        <f t="shared" ca="1" si="24"/>
        <v>5649146</v>
      </c>
      <c r="E369" s="67">
        <f t="shared" ca="1" si="25"/>
        <v>0</v>
      </c>
      <c r="F369" s="21"/>
    </row>
    <row r="370" spans="1:6" x14ac:dyDescent="0.3">
      <c r="A370" s="34">
        <v>366</v>
      </c>
      <c r="B370" s="103">
        <f t="shared" ca="1" si="26"/>
        <v>58050</v>
      </c>
      <c r="C370" s="67">
        <f t="shared" ca="1" si="23"/>
        <v>-0.04</v>
      </c>
      <c r="D370" s="103">
        <f t="shared" ca="1" si="24"/>
        <v>5338469</v>
      </c>
      <c r="E370" s="67">
        <f t="shared" ca="1" si="25"/>
        <v>-0.05</v>
      </c>
      <c r="F370" s="21"/>
    </row>
    <row r="371" spans="1:6" x14ac:dyDescent="0.3">
      <c r="A371" s="34">
        <v>367</v>
      </c>
      <c r="B371" s="103">
        <f t="shared" ca="1" si="26"/>
        <v>59278</v>
      </c>
      <c r="C371" s="67">
        <f t="shared" ca="1" si="23"/>
        <v>-0.02</v>
      </c>
      <c r="D371" s="103">
        <f t="shared" ca="1" si="24"/>
        <v>5342460</v>
      </c>
      <c r="E371" s="67">
        <f t="shared" ca="1" si="25"/>
        <v>-0.05</v>
      </c>
      <c r="F371" s="21"/>
    </row>
    <row r="372" spans="1:6" x14ac:dyDescent="0.3">
      <c r="A372" s="34">
        <v>368</v>
      </c>
      <c r="B372" s="103">
        <f t="shared" ca="1" si="26"/>
        <v>61028</v>
      </c>
      <c r="C372" s="67">
        <f t="shared" ca="1" si="23"/>
        <v>0.01</v>
      </c>
      <c r="D372" s="103">
        <f t="shared" ca="1" si="24"/>
        <v>5811321</v>
      </c>
      <c r="E372" s="67">
        <f t="shared" ca="1" si="25"/>
        <v>0.03</v>
      </c>
      <c r="F372" s="21"/>
    </row>
    <row r="373" spans="1:6" x14ac:dyDescent="0.3">
      <c r="A373" s="34">
        <v>369</v>
      </c>
      <c r="B373" s="103">
        <f t="shared" ca="1" si="26"/>
        <v>61095</v>
      </c>
      <c r="C373" s="67">
        <f t="shared" ca="1" si="23"/>
        <v>0.01</v>
      </c>
      <c r="D373" s="103">
        <f t="shared" ca="1" si="24"/>
        <v>5871346</v>
      </c>
      <c r="E373" s="67">
        <f t="shared" ca="1" si="25"/>
        <v>0.04</v>
      </c>
      <c r="F373" s="21"/>
    </row>
    <row r="374" spans="1:6" x14ac:dyDescent="0.3">
      <c r="A374" s="34">
        <v>370</v>
      </c>
      <c r="B374" s="103">
        <f t="shared" ca="1" si="26"/>
        <v>62158</v>
      </c>
      <c r="C374" s="67">
        <f t="shared" ca="1" si="23"/>
        <v>0.03</v>
      </c>
      <c r="D374" s="103">
        <f t="shared" ca="1" si="24"/>
        <v>5771177</v>
      </c>
      <c r="E374" s="67">
        <f t="shared" ca="1" si="25"/>
        <v>0.02</v>
      </c>
      <c r="F374" s="21"/>
    </row>
    <row r="375" spans="1:6" x14ac:dyDescent="0.3">
      <c r="A375" s="34">
        <v>371</v>
      </c>
      <c r="B375" s="103">
        <f t="shared" ca="1" si="26"/>
        <v>61708</v>
      </c>
      <c r="C375" s="67">
        <f t="shared" ca="1" si="23"/>
        <v>0.02</v>
      </c>
      <c r="D375" s="103">
        <f t="shared" ca="1" si="24"/>
        <v>5675378</v>
      </c>
      <c r="E375" s="67">
        <f t="shared" ca="1" si="25"/>
        <v>0.01</v>
      </c>
      <c r="F375" s="21"/>
    </row>
    <row r="376" spans="1:6" x14ac:dyDescent="0.3">
      <c r="A376" s="34">
        <v>372</v>
      </c>
      <c r="B376" s="103">
        <f t="shared" ca="1" si="26"/>
        <v>62274</v>
      </c>
      <c r="C376" s="67">
        <f t="shared" ca="1" si="23"/>
        <v>0.03</v>
      </c>
      <c r="D376" s="103">
        <f t="shared" ca="1" si="24"/>
        <v>5785878</v>
      </c>
      <c r="E376" s="67">
        <f t="shared" ca="1" si="25"/>
        <v>0.03</v>
      </c>
      <c r="F376" s="21"/>
    </row>
    <row r="377" spans="1:6" x14ac:dyDescent="0.3">
      <c r="A377" s="34">
        <v>373</v>
      </c>
      <c r="B377" s="103">
        <f t="shared" ca="1" si="26"/>
        <v>62178</v>
      </c>
      <c r="C377" s="67">
        <f t="shared" ca="1" si="23"/>
        <v>0.03</v>
      </c>
      <c r="D377" s="103">
        <f t="shared" ca="1" si="24"/>
        <v>5803901</v>
      </c>
      <c r="E377" s="67">
        <f t="shared" ca="1" si="25"/>
        <v>0.03</v>
      </c>
      <c r="F377" s="21"/>
    </row>
    <row r="378" spans="1:6" x14ac:dyDescent="0.3">
      <c r="A378" s="34">
        <v>374</v>
      </c>
      <c r="B378" s="103">
        <f t="shared" ca="1" si="26"/>
        <v>59376</v>
      </c>
      <c r="C378" s="67">
        <f t="shared" ca="1" si="23"/>
        <v>-0.02</v>
      </c>
      <c r="D378" s="103">
        <f t="shared" ca="1" si="24"/>
        <v>5452607</v>
      </c>
      <c r="E378" s="67">
        <f t="shared" ca="1" si="25"/>
        <v>-0.03</v>
      </c>
      <c r="F378" s="21"/>
    </row>
    <row r="379" spans="1:6" x14ac:dyDescent="0.3">
      <c r="A379" s="34">
        <v>375</v>
      </c>
      <c r="B379" s="103">
        <f t="shared" ca="1" si="26"/>
        <v>59010</v>
      </c>
      <c r="C379" s="67">
        <f t="shared" ca="1" si="23"/>
        <v>-0.02</v>
      </c>
      <c r="D379" s="103">
        <f t="shared" ca="1" si="24"/>
        <v>5416922</v>
      </c>
      <c r="E379" s="67">
        <f t="shared" ca="1" si="25"/>
        <v>-0.04</v>
      </c>
      <c r="F379" s="21"/>
    </row>
    <row r="380" spans="1:6" x14ac:dyDescent="0.3">
      <c r="A380" s="34">
        <v>376</v>
      </c>
      <c r="B380" s="103">
        <f t="shared" ca="1" si="26"/>
        <v>59569</v>
      </c>
      <c r="C380" s="67">
        <f t="shared" ca="1" si="23"/>
        <v>-0.01</v>
      </c>
      <c r="D380" s="103">
        <f t="shared" ca="1" si="24"/>
        <v>5763642</v>
      </c>
      <c r="E380" s="67">
        <f t="shared" ca="1" si="25"/>
        <v>0.02</v>
      </c>
      <c r="F380" s="21"/>
    </row>
    <row r="381" spans="1:6" x14ac:dyDescent="0.3">
      <c r="A381" s="34">
        <v>377</v>
      </c>
      <c r="B381" s="103">
        <f t="shared" ca="1" si="26"/>
        <v>60122</v>
      </c>
      <c r="C381" s="67">
        <f t="shared" ca="1" si="23"/>
        <v>0</v>
      </c>
      <c r="D381" s="103">
        <f t="shared" ca="1" si="24"/>
        <v>5467570</v>
      </c>
      <c r="E381" s="67">
        <f t="shared" ca="1" si="25"/>
        <v>-0.03</v>
      </c>
      <c r="F381" s="21"/>
    </row>
    <row r="382" spans="1:6" x14ac:dyDescent="0.3">
      <c r="A382" s="34">
        <v>378</v>
      </c>
      <c r="B382" s="103">
        <f t="shared" ca="1" si="26"/>
        <v>61523</v>
      </c>
      <c r="C382" s="67">
        <f t="shared" ca="1" si="23"/>
        <v>0.02</v>
      </c>
      <c r="D382" s="103">
        <f t="shared" ca="1" si="24"/>
        <v>5583482</v>
      </c>
      <c r="E382" s="67">
        <f t="shared" ca="1" si="25"/>
        <v>-0.01</v>
      </c>
      <c r="F382" s="21"/>
    </row>
    <row r="383" spans="1:6" x14ac:dyDescent="0.3">
      <c r="A383" s="34">
        <v>379</v>
      </c>
      <c r="B383" s="103">
        <f t="shared" ca="1" si="26"/>
        <v>62855</v>
      </c>
      <c r="C383" s="67">
        <f t="shared" ca="1" si="23"/>
        <v>0.04</v>
      </c>
      <c r="D383" s="103">
        <f t="shared" ca="1" si="24"/>
        <v>5624454</v>
      </c>
      <c r="E383" s="67">
        <f t="shared" ca="1" si="25"/>
        <v>0</v>
      </c>
      <c r="F383" s="21"/>
    </row>
    <row r="384" spans="1:6" x14ac:dyDescent="0.3">
      <c r="A384" s="34">
        <v>380</v>
      </c>
      <c r="B384" s="103">
        <f t="shared" ca="1" si="26"/>
        <v>58642</v>
      </c>
      <c r="C384" s="67">
        <f t="shared" ca="1" si="23"/>
        <v>-0.03</v>
      </c>
      <c r="D384" s="103">
        <f t="shared" ca="1" si="24"/>
        <v>5807534</v>
      </c>
      <c r="E384" s="67">
        <f t="shared" ca="1" si="25"/>
        <v>0.03</v>
      </c>
      <c r="F384" s="21"/>
    </row>
    <row r="385" spans="1:6" x14ac:dyDescent="0.3">
      <c r="A385" s="34">
        <v>381</v>
      </c>
      <c r="B385" s="103">
        <f t="shared" ca="1" si="26"/>
        <v>59776</v>
      </c>
      <c r="C385" s="67">
        <f t="shared" ca="1" si="23"/>
        <v>-0.01</v>
      </c>
      <c r="D385" s="103">
        <f t="shared" ca="1" si="24"/>
        <v>5562836</v>
      </c>
      <c r="E385" s="67">
        <f t="shared" ca="1" si="25"/>
        <v>-0.01</v>
      </c>
      <c r="F385" s="21"/>
    </row>
    <row r="386" spans="1:6" x14ac:dyDescent="0.3">
      <c r="A386" s="34">
        <v>382</v>
      </c>
      <c r="B386" s="103">
        <f t="shared" ca="1" si="26"/>
        <v>60016</v>
      </c>
      <c r="C386" s="67">
        <f t="shared" ca="1" si="23"/>
        <v>0</v>
      </c>
      <c r="D386" s="103">
        <f t="shared" ca="1" si="24"/>
        <v>5733116</v>
      </c>
      <c r="E386" s="67">
        <f t="shared" ca="1" si="25"/>
        <v>0.02</v>
      </c>
      <c r="F386" s="21"/>
    </row>
    <row r="387" spans="1:6" x14ac:dyDescent="0.3">
      <c r="A387" s="34">
        <v>383</v>
      </c>
      <c r="B387" s="103">
        <f t="shared" ca="1" si="26"/>
        <v>61422</v>
      </c>
      <c r="C387" s="67">
        <f t="shared" ca="1" si="23"/>
        <v>0.02</v>
      </c>
      <c r="D387" s="103">
        <f t="shared" ca="1" si="24"/>
        <v>5824311</v>
      </c>
      <c r="E387" s="67">
        <f t="shared" ca="1" si="25"/>
        <v>0.03</v>
      </c>
      <c r="F387" s="21"/>
    </row>
    <row r="388" spans="1:6" x14ac:dyDescent="0.3">
      <c r="A388" s="34">
        <v>384</v>
      </c>
      <c r="B388" s="103">
        <f t="shared" ca="1" si="26"/>
        <v>59852</v>
      </c>
      <c r="C388" s="67">
        <f t="shared" ca="1" si="23"/>
        <v>-0.01</v>
      </c>
      <c r="D388" s="103">
        <f t="shared" ca="1" si="24"/>
        <v>5366482</v>
      </c>
      <c r="E388" s="67">
        <f t="shared" ca="1" si="25"/>
        <v>-0.05</v>
      </c>
      <c r="F388" s="21"/>
    </row>
    <row r="389" spans="1:6" x14ac:dyDescent="0.3">
      <c r="A389" s="34">
        <v>385</v>
      </c>
      <c r="B389" s="103">
        <f t="shared" ca="1" si="26"/>
        <v>60768</v>
      </c>
      <c r="C389" s="67">
        <f t="shared" ref="C389:C452" ca="1" si="27">_xlfn.XLOOKUP(B389,selling_price_range,Range,"",-1)</f>
        <v>0.01</v>
      </c>
      <c r="D389" s="103">
        <f t="shared" ref="D389:D452" ca="1" si="28">RANDBETWEEN($P$5*(1+$G$5),$P$5*(1+$G$15))</f>
        <v>5729046</v>
      </c>
      <c r="E389" s="67">
        <f t="shared" ref="E389:E452" ca="1" si="29">_xlfn.XLOOKUP(D389,expenses_range,Range,"",-1)</f>
        <v>0.02</v>
      </c>
      <c r="F389" s="21"/>
    </row>
    <row r="390" spans="1:6" x14ac:dyDescent="0.3">
      <c r="A390" s="34">
        <v>386</v>
      </c>
      <c r="B390" s="103">
        <f t="shared" ref="B390:B453" ca="1" si="30">RANDBETWEEN($P$4*(1+$G$5),$P$4*(1+$G$15))</f>
        <v>58178</v>
      </c>
      <c r="C390" s="67">
        <f t="shared" ca="1" si="27"/>
        <v>-0.04</v>
      </c>
      <c r="D390" s="103">
        <f t="shared" ca="1" si="28"/>
        <v>5744168</v>
      </c>
      <c r="E390" s="67">
        <f t="shared" ca="1" si="29"/>
        <v>0.02</v>
      </c>
      <c r="F390" s="21"/>
    </row>
    <row r="391" spans="1:6" x14ac:dyDescent="0.3">
      <c r="A391" s="34">
        <v>387</v>
      </c>
      <c r="B391" s="103">
        <f t="shared" ca="1" si="30"/>
        <v>62021</v>
      </c>
      <c r="C391" s="67">
        <f t="shared" ca="1" si="27"/>
        <v>0.03</v>
      </c>
      <c r="D391" s="103">
        <f t="shared" ca="1" si="28"/>
        <v>5580142</v>
      </c>
      <c r="E391" s="67">
        <f t="shared" ca="1" si="29"/>
        <v>-0.01</v>
      </c>
      <c r="F391" s="21"/>
    </row>
    <row r="392" spans="1:6" x14ac:dyDescent="0.3">
      <c r="A392" s="34">
        <v>388</v>
      </c>
      <c r="B392" s="103">
        <f t="shared" ca="1" si="30"/>
        <v>61031</v>
      </c>
      <c r="C392" s="67">
        <f t="shared" ca="1" si="27"/>
        <v>0.01</v>
      </c>
      <c r="D392" s="103">
        <f t="shared" ca="1" si="28"/>
        <v>5873775</v>
      </c>
      <c r="E392" s="67">
        <f t="shared" ca="1" si="29"/>
        <v>0.04</v>
      </c>
      <c r="F392" s="21"/>
    </row>
    <row r="393" spans="1:6" x14ac:dyDescent="0.3">
      <c r="A393" s="34">
        <v>389</v>
      </c>
      <c r="B393" s="103">
        <f t="shared" ca="1" si="30"/>
        <v>57641</v>
      </c>
      <c r="C393" s="67">
        <f t="shared" ca="1" si="27"/>
        <v>-0.04</v>
      </c>
      <c r="D393" s="103">
        <f t="shared" ca="1" si="28"/>
        <v>5599621</v>
      </c>
      <c r="E393" s="67">
        <f t="shared" ca="1" si="29"/>
        <v>-0.01</v>
      </c>
      <c r="F393" s="21"/>
    </row>
    <row r="394" spans="1:6" x14ac:dyDescent="0.3">
      <c r="A394" s="34">
        <v>390</v>
      </c>
      <c r="B394" s="103">
        <f t="shared" ca="1" si="30"/>
        <v>61074</v>
      </c>
      <c r="C394" s="67">
        <f t="shared" ca="1" si="27"/>
        <v>0.01</v>
      </c>
      <c r="D394" s="103">
        <f t="shared" ca="1" si="28"/>
        <v>5817641</v>
      </c>
      <c r="E394" s="67">
        <f t="shared" ca="1" si="29"/>
        <v>0.03</v>
      </c>
      <c r="F394" s="21"/>
    </row>
    <row r="395" spans="1:6" x14ac:dyDescent="0.3">
      <c r="A395" s="34">
        <v>391</v>
      </c>
      <c r="B395" s="103">
        <f t="shared" ca="1" si="30"/>
        <v>58227</v>
      </c>
      <c r="C395" s="67">
        <f t="shared" ca="1" si="27"/>
        <v>-0.03</v>
      </c>
      <c r="D395" s="103">
        <f t="shared" ca="1" si="28"/>
        <v>5583714</v>
      </c>
      <c r="E395" s="67">
        <f t="shared" ca="1" si="29"/>
        <v>-0.01</v>
      </c>
      <c r="F395" s="21"/>
    </row>
    <row r="396" spans="1:6" x14ac:dyDescent="0.3">
      <c r="A396" s="34">
        <v>392</v>
      </c>
      <c r="B396" s="103">
        <f t="shared" ca="1" si="30"/>
        <v>60280</v>
      </c>
      <c r="C396" s="67">
        <f t="shared" ca="1" si="27"/>
        <v>0</v>
      </c>
      <c r="D396" s="103">
        <f t="shared" ca="1" si="28"/>
        <v>5801338</v>
      </c>
      <c r="E396" s="67">
        <f t="shared" ca="1" si="29"/>
        <v>0.03</v>
      </c>
      <c r="F396" s="21"/>
    </row>
    <row r="397" spans="1:6" x14ac:dyDescent="0.3">
      <c r="A397" s="34">
        <v>393</v>
      </c>
      <c r="B397" s="103">
        <f t="shared" ca="1" si="30"/>
        <v>58074</v>
      </c>
      <c r="C397" s="67">
        <f t="shared" ca="1" si="27"/>
        <v>-0.04</v>
      </c>
      <c r="D397" s="103">
        <f t="shared" ca="1" si="28"/>
        <v>5415801</v>
      </c>
      <c r="E397" s="67">
        <f t="shared" ca="1" si="29"/>
        <v>-0.04</v>
      </c>
      <c r="F397" s="21"/>
    </row>
    <row r="398" spans="1:6" x14ac:dyDescent="0.3">
      <c r="A398" s="34">
        <v>394</v>
      </c>
      <c r="B398" s="103">
        <f t="shared" ca="1" si="30"/>
        <v>62149</v>
      </c>
      <c r="C398" s="67">
        <f t="shared" ca="1" si="27"/>
        <v>0.03</v>
      </c>
      <c r="D398" s="103">
        <f t="shared" ca="1" si="28"/>
        <v>5513824</v>
      </c>
      <c r="E398" s="67">
        <f t="shared" ca="1" si="29"/>
        <v>-0.02</v>
      </c>
      <c r="F398" s="21"/>
    </row>
    <row r="399" spans="1:6" x14ac:dyDescent="0.3">
      <c r="A399" s="34">
        <v>395</v>
      </c>
      <c r="B399" s="103">
        <f t="shared" ca="1" si="30"/>
        <v>60132</v>
      </c>
      <c r="C399" s="67">
        <f t="shared" ca="1" si="27"/>
        <v>0</v>
      </c>
      <c r="D399" s="103">
        <f t="shared" ca="1" si="28"/>
        <v>5468206</v>
      </c>
      <c r="E399" s="67">
        <f t="shared" ca="1" si="29"/>
        <v>-0.03</v>
      </c>
      <c r="F399" s="21"/>
    </row>
    <row r="400" spans="1:6" x14ac:dyDescent="0.3">
      <c r="A400" s="34">
        <v>396</v>
      </c>
      <c r="B400" s="103">
        <f t="shared" ca="1" si="30"/>
        <v>58811</v>
      </c>
      <c r="C400" s="67">
        <f t="shared" ca="1" si="27"/>
        <v>-0.02</v>
      </c>
      <c r="D400" s="103">
        <f t="shared" ca="1" si="28"/>
        <v>5719499</v>
      </c>
      <c r="E400" s="67">
        <f t="shared" ca="1" si="29"/>
        <v>0.02</v>
      </c>
      <c r="F400" s="21"/>
    </row>
    <row r="401" spans="1:6" x14ac:dyDescent="0.3">
      <c r="A401" s="34">
        <v>397</v>
      </c>
      <c r="B401" s="103">
        <f t="shared" ca="1" si="30"/>
        <v>60214</v>
      </c>
      <c r="C401" s="67">
        <f t="shared" ca="1" si="27"/>
        <v>0</v>
      </c>
      <c r="D401" s="103">
        <f t="shared" ca="1" si="28"/>
        <v>5350989</v>
      </c>
      <c r="E401" s="67">
        <f t="shared" ca="1" si="29"/>
        <v>-0.05</v>
      </c>
      <c r="F401" s="21"/>
    </row>
    <row r="402" spans="1:6" x14ac:dyDescent="0.3">
      <c r="A402" s="34">
        <v>398</v>
      </c>
      <c r="B402" s="103">
        <f t="shared" ca="1" si="30"/>
        <v>59932</v>
      </c>
      <c r="C402" s="67">
        <f t="shared" ca="1" si="27"/>
        <v>-0.01</v>
      </c>
      <c r="D402" s="103">
        <f t="shared" ca="1" si="28"/>
        <v>5582079</v>
      </c>
      <c r="E402" s="67">
        <f t="shared" ca="1" si="29"/>
        <v>-0.01</v>
      </c>
      <c r="F402" s="21"/>
    </row>
    <row r="403" spans="1:6" x14ac:dyDescent="0.3">
      <c r="A403" s="34">
        <v>399</v>
      </c>
      <c r="B403" s="103">
        <f t="shared" ca="1" si="30"/>
        <v>59848</v>
      </c>
      <c r="C403" s="67">
        <f t="shared" ca="1" si="27"/>
        <v>-0.01</v>
      </c>
      <c r="D403" s="103">
        <f t="shared" ca="1" si="28"/>
        <v>5325082</v>
      </c>
      <c r="E403" s="67">
        <f t="shared" ca="1" si="29"/>
        <v>-0.05</v>
      </c>
      <c r="F403" s="21"/>
    </row>
    <row r="404" spans="1:6" x14ac:dyDescent="0.3">
      <c r="A404" s="34">
        <v>400</v>
      </c>
      <c r="B404" s="103">
        <f t="shared" ca="1" si="30"/>
        <v>60999</v>
      </c>
      <c r="C404" s="67">
        <f t="shared" ca="1" si="27"/>
        <v>0.01</v>
      </c>
      <c r="D404" s="103">
        <f t="shared" ca="1" si="28"/>
        <v>5562633</v>
      </c>
      <c r="E404" s="67">
        <f t="shared" ca="1" si="29"/>
        <v>-0.01</v>
      </c>
      <c r="F404" s="21"/>
    </row>
    <row r="405" spans="1:6" x14ac:dyDescent="0.3">
      <c r="A405" s="34">
        <v>401</v>
      </c>
      <c r="B405" s="103">
        <f t="shared" ca="1" si="30"/>
        <v>57161</v>
      </c>
      <c r="C405" s="67">
        <f t="shared" ca="1" si="27"/>
        <v>-0.05</v>
      </c>
      <c r="D405" s="103">
        <f t="shared" ca="1" si="28"/>
        <v>5882124</v>
      </c>
      <c r="E405" s="67">
        <f t="shared" ca="1" si="29"/>
        <v>0.04</v>
      </c>
      <c r="F405" s="21"/>
    </row>
    <row r="406" spans="1:6" x14ac:dyDescent="0.3">
      <c r="A406" s="34">
        <v>402</v>
      </c>
      <c r="B406" s="103">
        <f t="shared" ca="1" si="30"/>
        <v>57689</v>
      </c>
      <c r="C406" s="67">
        <f t="shared" ca="1" si="27"/>
        <v>-0.04</v>
      </c>
      <c r="D406" s="103">
        <f t="shared" ca="1" si="28"/>
        <v>5375497</v>
      </c>
      <c r="E406" s="67">
        <f t="shared" ca="1" si="29"/>
        <v>-0.05</v>
      </c>
      <c r="F406" s="21"/>
    </row>
    <row r="407" spans="1:6" x14ac:dyDescent="0.3">
      <c r="A407" s="34">
        <v>403</v>
      </c>
      <c r="B407" s="103">
        <f t="shared" ca="1" si="30"/>
        <v>60286</v>
      </c>
      <c r="C407" s="67">
        <f t="shared" ca="1" si="27"/>
        <v>0</v>
      </c>
      <c r="D407" s="103">
        <f t="shared" ca="1" si="28"/>
        <v>5497018</v>
      </c>
      <c r="E407" s="67">
        <f t="shared" ca="1" si="29"/>
        <v>-0.02</v>
      </c>
      <c r="F407" s="21"/>
    </row>
    <row r="408" spans="1:6" x14ac:dyDescent="0.3">
      <c r="A408" s="34">
        <v>404</v>
      </c>
      <c r="B408" s="103">
        <f t="shared" ca="1" si="30"/>
        <v>61017</v>
      </c>
      <c r="C408" s="67">
        <f t="shared" ca="1" si="27"/>
        <v>0.01</v>
      </c>
      <c r="D408" s="103">
        <f t="shared" ca="1" si="28"/>
        <v>5738508</v>
      </c>
      <c r="E408" s="67">
        <f t="shared" ca="1" si="29"/>
        <v>0.02</v>
      </c>
      <c r="F408" s="21"/>
    </row>
    <row r="409" spans="1:6" x14ac:dyDescent="0.3">
      <c r="A409" s="34">
        <v>405</v>
      </c>
      <c r="B409" s="103">
        <f t="shared" ca="1" si="30"/>
        <v>58279</v>
      </c>
      <c r="C409" s="67">
        <f t="shared" ca="1" si="27"/>
        <v>-0.03</v>
      </c>
      <c r="D409" s="103">
        <f t="shared" ca="1" si="28"/>
        <v>5648549</v>
      </c>
      <c r="E409" s="67">
        <f t="shared" ca="1" si="29"/>
        <v>0</v>
      </c>
      <c r="F409" s="21"/>
    </row>
    <row r="410" spans="1:6" x14ac:dyDescent="0.3">
      <c r="A410" s="34">
        <v>406</v>
      </c>
      <c r="B410" s="103">
        <f t="shared" ca="1" si="30"/>
        <v>60504</v>
      </c>
      <c r="C410" s="67">
        <f t="shared" ca="1" si="27"/>
        <v>0</v>
      </c>
      <c r="D410" s="103">
        <f t="shared" ca="1" si="28"/>
        <v>5584217</v>
      </c>
      <c r="E410" s="67">
        <f t="shared" ca="1" si="29"/>
        <v>-0.01</v>
      </c>
      <c r="F410" s="21"/>
    </row>
    <row r="411" spans="1:6" x14ac:dyDescent="0.3">
      <c r="A411" s="34">
        <v>407</v>
      </c>
      <c r="B411" s="103">
        <f t="shared" ca="1" si="30"/>
        <v>57104</v>
      </c>
      <c r="C411" s="67">
        <f t="shared" ca="1" si="27"/>
        <v>-0.05</v>
      </c>
      <c r="D411" s="103">
        <f t="shared" ca="1" si="28"/>
        <v>5662851</v>
      </c>
      <c r="E411" s="67">
        <f t="shared" ca="1" si="29"/>
        <v>0.01</v>
      </c>
      <c r="F411" s="21"/>
    </row>
    <row r="412" spans="1:6" x14ac:dyDescent="0.3">
      <c r="A412" s="34">
        <v>408</v>
      </c>
      <c r="B412" s="103">
        <f t="shared" ca="1" si="30"/>
        <v>57655</v>
      </c>
      <c r="C412" s="67">
        <f t="shared" ca="1" si="27"/>
        <v>-0.04</v>
      </c>
      <c r="D412" s="103">
        <f t="shared" ca="1" si="28"/>
        <v>5364073</v>
      </c>
      <c r="E412" s="67">
        <f t="shared" ca="1" si="29"/>
        <v>-0.05</v>
      </c>
      <c r="F412" s="21"/>
    </row>
    <row r="413" spans="1:6" x14ac:dyDescent="0.3">
      <c r="A413" s="34">
        <v>409</v>
      </c>
      <c r="B413" s="103">
        <f t="shared" ca="1" si="30"/>
        <v>57520</v>
      </c>
      <c r="C413" s="67">
        <f t="shared" ca="1" si="27"/>
        <v>-0.05</v>
      </c>
      <c r="D413" s="103">
        <f t="shared" ca="1" si="28"/>
        <v>5823095</v>
      </c>
      <c r="E413" s="67">
        <f t="shared" ca="1" si="29"/>
        <v>0.03</v>
      </c>
      <c r="F413" s="21"/>
    </row>
    <row r="414" spans="1:6" x14ac:dyDescent="0.3">
      <c r="A414" s="34">
        <v>410</v>
      </c>
      <c r="B414" s="103">
        <f t="shared" ca="1" si="30"/>
        <v>58921</v>
      </c>
      <c r="C414" s="67">
        <f t="shared" ca="1" si="27"/>
        <v>-0.02</v>
      </c>
      <c r="D414" s="103">
        <f t="shared" ca="1" si="28"/>
        <v>5760038</v>
      </c>
      <c r="E414" s="67">
        <f t="shared" ca="1" si="29"/>
        <v>0.02</v>
      </c>
      <c r="F414" s="21"/>
    </row>
    <row r="415" spans="1:6" x14ac:dyDescent="0.3">
      <c r="A415" s="34">
        <v>411</v>
      </c>
      <c r="B415" s="103">
        <f t="shared" ca="1" si="30"/>
        <v>61000</v>
      </c>
      <c r="C415" s="67">
        <f t="shared" ca="1" si="27"/>
        <v>0.01</v>
      </c>
      <c r="D415" s="103">
        <f t="shared" ca="1" si="28"/>
        <v>5633951</v>
      </c>
      <c r="E415" s="67">
        <f t="shared" ca="1" si="29"/>
        <v>0</v>
      </c>
      <c r="F415" s="21"/>
    </row>
    <row r="416" spans="1:6" x14ac:dyDescent="0.3">
      <c r="A416" s="34">
        <v>412</v>
      </c>
      <c r="B416" s="103">
        <f t="shared" ca="1" si="30"/>
        <v>62726</v>
      </c>
      <c r="C416" s="67">
        <f t="shared" ca="1" si="27"/>
        <v>0.04</v>
      </c>
      <c r="D416" s="103">
        <f t="shared" ca="1" si="28"/>
        <v>5475163</v>
      </c>
      <c r="E416" s="67">
        <f t="shared" ca="1" si="29"/>
        <v>-0.03</v>
      </c>
      <c r="F416" s="21"/>
    </row>
    <row r="417" spans="1:6" x14ac:dyDescent="0.3">
      <c r="A417" s="34">
        <v>413</v>
      </c>
      <c r="B417" s="103">
        <f t="shared" ca="1" si="30"/>
        <v>60076</v>
      </c>
      <c r="C417" s="67">
        <f t="shared" ca="1" si="27"/>
        <v>0</v>
      </c>
      <c r="D417" s="103">
        <f t="shared" ca="1" si="28"/>
        <v>5446656</v>
      </c>
      <c r="E417" s="67">
        <f t="shared" ca="1" si="29"/>
        <v>-0.03</v>
      </c>
      <c r="F417" s="21"/>
    </row>
    <row r="418" spans="1:6" x14ac:dyDescent="0.3">
      <c r="A418" s="34">
        <v>414</v>
      </c>
      <c r="B418" s="103">
        <f t="shared" ca="1" si="30"/>
        <v>60630</v>
      </c>
      <c r="C418" s="67">
        <f t="shared" ca="1" si="27"/>
        <v>0.01</v>
      </c>
      <c r="D418" s="103">
        <f t="shared" ca="1" si="28"/>
        <v>5884107</v>
      </c>
      <c r="E418" s="67">
        <f t="shared" ca="1" si="29"/>
        <v>0.04</v>
      </c>
      <c r="F418" s="21"/>
    </row>
    <row r="419" spans="1:6" x14ac:dyDescent="0.3">
      <c r="A419" s="34">
        <v>415</v>
      </c>
      <c r="B419" s="103">
        <f t="shared" ca="1" si="30"/>
        <v>61160</v>
      </c>
      <c r="C419" s="67">
        <f t="shared" ca="1" si="27"/>
        <v>0.01</v>
      </c>
      <c r="D419" s="103">
        <f t="shared" ca="1" si="28"/>
        <v>5445532</v>
      </c>
      <c r="E419" s="67">
        <f t="shared" ca="1" si="29"/>
        <v>-0.03</v>
      </c>
      <c r="F419" s="21"/>
    </row>
    <row r="420" spans="1:6" x14ac:dyDescent="0.3">
      <c r="A420" s="34">
        <v>416</v>
      </c>
      <c r="B420" s="103">
        <f t="shared" ca="1" si="30"/>
        <v>57240</v>
      </c>
      <c r="C420" s="67">
        <f t="shared" ca="1" si="27"/>
        <v>-0.05</v>
      </c>
      <c r="D420" s="103">
        <f t="shared" ca="1" si="28"/>
        <v>5403122</v>
      </c>
      <c r="E420" s="67">
        <f t="shared" ca="1" si="29"/>
        <v>-0.04</v>
      </c>
      <c r="F420" s="21"/>
    </row>
    <row r="421" spans="1:6" x14ac:dyDescent="0.3">
      <c r="A421" s="34">
        <v>417</v>
      </c>
      <c r="B421" s="103">
        <f t="shared" ca="1" si="30"/>
        <v>62325</v>
      </c>
      <c r="C421" s="67">
        <f t="shared" ca="1" si="27"/>
        <v>0.03</v>
      </c>
      <c r="D421" s="103">
        <f t="shared" ca="1" si="28"/>
        <v>5550377</v>
      </c>
      <c r="E421" s="67">
        <f t="shared" ca="1" si="29"/>
        <v>-0.01</v>
      </c>
      <c r="F421" s="21"/>
    </row>
    <row r="422" spans="1:6" x14ac:dyDescent="0.3">
      <c r="A422" s="34">
        <v>418</v>
      </c>
      <c r="B422" s="103">
        <f t="shared" ca="1" si="30"/>
        <v>59941</v>
      </c>
      <c r="C422" s="67">
        <f t="shared" ca="1" si="27"/>
        <v>-0.01</v>
      </c>
      <c r="D422" s="103">
        <f t="shared" ca="1" si="28"/>
        <v>5848630</v>
      </c>
      <c r="E422" s="67">
        <f t="shared" ca="1" si="29"/>
        <v>0.04</v>
      </c>
      <c r="F422" s="21"/>
    </row>
    <row r="423" spans="1:6" x14ac:dyDescent="0.3">
      <c r="A423" s="34">
        <v>419</v>
      </c>
      <c r="B423" s="103">
        <f t="shared" ca="1" si="30"/>
        <v>62923</v>
      </c>
      <c r="C423" s="67">
        <f t="shared" ca="1" si="27"/>
        <v>0.04</v>
      </c>
      <c r="D423" s="103">
        <f t="shared" ca="1" si="28"/>
        <v>5748443</v>
      </c>
      <c r="E423" s="67">
        <f t="shared" ca="1" si="29"/>
        <v>0.02</v>
      </c>
      <c r="F423" s="21"/>
    </row>
    <row r="424" spans="1:6" x14ac:dyDescent="0.3">
      <c r="A424" s="34">
        <v>420</v>
      </c>
      <c r="B424" s="103">
        <f t="shared" ca="1" si="30"/>
        <v>61663</v>
      </c>
      <c r="C424" s="67">
        <f t="shared" ca="1" si="27"/>
        <v>0.02</v>
      </c>
      <c r="D424" s="103">
        <f t="shared" ca="1" si="28"/>
        <v>5467210</v>
      </c>
      <c r="E424" s="67">
        <f t="shared" ca="1" si="29"/>
        <v>-0.03</v>
      </c>
      <c r="F424" s="21"/>
    </row>
    <row r="425" spans="1:6" x14ac:dyDescent="0.3">
      <c r="A425" s="34">
        <v>421</v>
      </c>
      <c r="B425" s="103">
        <f t="shared" ca="1" si="30"/>
        <v>58542</v>
      </c>
      <c r="C425" s="67">
        <f t="shared" ca="1" si="27"/>
        <v>-0.03</v>
      </c>
      <c r="D425" s="103">
        <f t="shared" ca="1" si="28"/>
        <v>5385426</v>
      </c>
      <c r="E425" s="67">
        <f t="shared" ca="1" si="29"/>
        <v>-0.04</v>
      </c>
      <c r="F425" s="21"/>
    </row>
    <row r="426" spans="1:6" x14ac:dyDescent="0.3">
      <c r="A426" s="34">
        <v>422</v>
      </c>
      <c r="B426" s="103">
        <f t="shared" ca="1" si="30"/>
        <v>59171</v>
      </c>
      <c r="C426" s="67">
        <f t="shared" ca="1" si="27"/>
        <v>-0.02</v>
      </c>
      <c r="D426" s="103">
        <f t="shared" ca="1" si="28"/>
        <v>5505533</v>
      </c>
      <c r="E426" s="67">
        <f t="shared" ca="1" si="29"/>
        <v>-0.02</v>
      </c>
      <c r="F426" s="21"/>
    </row>
    <row r="427" spans="1:6" x14ac:dyDescent="0.3">
      <c r="A427" s="34">
        <v>423</v>
      </c>
      <c r="B427" s="103">
        <f t="shared" ca="1" si="30"/>
        <v>57245</v>
      </c>
      <c r="C427" s="67">
        <f t="shared" ca="1" si="27"/>
        <v>-0.05</v>
      </c>
      <c r="D427" s="103">
        <f t="shared" ca="1" si="28"/>
        <v>5354667</v>
      </c>
      <c r="E427" s="67">
        <f t="shared" ca="1" si="29"/>
        <v>-0.05</v>
      </c>
      <c r="F427" s="21"/>
    </row>
    <row r="428" spans="1:6" x14ac:dyDescent="0.3">
      <c r="A428" s="34">
        <v>424</v>
      </c>
      <c r="B428" s="103">
        <f t="shared" ca="1" si="30"/>
        <v>61178</v>
      </c>
      <c r="C428" s="67">
        <f t="shared" ca="1" si="27"/>
        <v>0.01</v>
      </c>
      <c r="D428" s="103">
        <f t="shared" ca="1" si="28"/>
        <v>5836519</v>
      </c>
      <c r="E428" s="67">
        <f t="shared" ca="1" si="29"/>
        <v>0.04</v>
      </c>
      <c r="F428" s="21"/>
    </row>
    <row r="429" spans="1:6" x14ac:dyDescent="0.3">
      <c r="A429" s="34">
        <v>425</v>
      </c>
      <c r="B429" s="103">
        <f t="shared" ca="1" si="30"/>
        <v>60832</v>
      </c>
      <c r="C429" s="67">
        <f t="shared" ca="1" si="27"/>
        <v>0.01</v>
      </c>
      <c r="D429" s="103">
        <f t="shared" ca="1" si="28"/>
        <v>5512093</v>
      </c>
      <c r="E429" s="67">
        <f t="shared" ca="1" si="29"/>
        <v>-0.02</v>
      </c>
      <c r="F429" s="21"/>
    </row>
    <row r="430" spans="1:6" x14ac:dyDescent="0.3">
      <c r="A430" s="34">
        <v>426</v>
      </c>
      <c r="B430" s="103">
        <f t="shared" ca="1" si="30"/>
        <v>60576</v>
      </c>
      <c r="C430" s="67">
        <f t="shared" ca="1" si="27"/>
        <v>0</v>
      </c>
      <c r="D430" s="103">
        <f t="shared" ca="1" si="28"/>
        <v>5562892</v>
      </c>
      <c r="E430" s="67">
        <f t="shared" ca="1" si="29"/>
        <v>-0.01</v>
      </c>
      <c r="F430" s="21"/>
    </row>
    <row r="431" spans="1:6" x14ac:dyDescent="0.3">
      <c r="A431" s="34">
        <v>427</v>
      </c>
      <c r="B431" s="103">
        <f t="shared" ca="1" si="30"/>
        <v>57441</v>
      </c>
      <c r="C431" s="67">
        <f t="shared" ca="1" si="27"/>
        <v>-0.05</v>
      </c>
      <c r="D431" s="103">
        <f t="shared" ca="1" si="28"/>
        <v>5854815</v>
      </c>
      <c r="E431" s="67">
        <f t="shared" ca="1" si="29"/>
        <v>0.04</v>
      </c>
      <c r="F431" s="21"/>
    </row>
    <row r="432" spans="1:6" x14ac:dyDescent="0.3">
      <c r="A432" s="34">
        <v>428</v>
      </c>
      <c r="B432" s="103">
        <f t="shared" ca="1" si="30"/>
        <v>57261</v>
      </c>
      <c r="C432" s="67">
        <f t="shared" ca="1" si="27"/>
        <v>-0.05</v>
      </c>
      <c r="D432" s="103">
        <f t="shared" ca="1" si="28"/>
        <v>5593931</v>
      </c>
      <c r="E432" s="67">
        <f t="shared" ca="1" si="29"/>
        <v>-0.01</v>
      </c>
      <c r="F432" s="21"/>
    </row>
    <row r="433" spans="1:6" x14ac:dyDescent="0.3">
      <c r="A433" s="34">
        <v>429</v>
      </c>
      <c r="B433" s="103">
        <f t="shared" ca="1" si="30"/>
        <v>62692</v>
      </c>
      <c r="C433" s="67">
        <f t="shared" ca="1" si="27"/>
        <v>0.04</v>
      </c>
      <c r="D433" s="103">
        <f t="shared" ca="1" si="28"/>
        <v>5341884</v>
      </c>
      <c r="E433" s="67">
        <f t="shared" ca="1" si="29"/>
        <v>-0.05</v>
      </c>
      <c r="F433" s="21"/>
    </row>
    <row r="434" spans="1:6" x14ac:dyDescent="0.3">
      <c r="A434" s="34">
        <v>430</v>
      </c>
      <c r="B434" s="103">
        <f t="shared" ca="1" si="30"/>
        <v>59544</v>
      </c>
      <c r="C434" s="67">
        <f t="shared" ca="1" si="27"/>
        <v>-0.01</v>
      </c>
      <c r="D434" s="103">
        <f t="shared" ca="1" si="28"/>
        <v>5429862</v>
      </c>
      <c r="E434" s="67">
        <f t="shared" ca="1" si="29"/>
        <v>-0.04</v>
      </c>
      <c r="F434" s="21"/>
    </row>
    <row r="435" spans="1:6" x14ac:dyDescent="0.3">
      <c r="A435" s="34">
        <v>431</v>
      </c>
      <c r="B435" s="103">
        <f t="shared" ca="1" si="30"/>
        <v>59261</v>
      </c>
      <c r="C435" s="67">
        <f t="shared" ca="1" si="27"/>
        <v>-0.02</v>
      </c>
      <c r="D435" s="103">
        <f t="shared" ca="1" si="28"/>
        <v>5745135</v>
      </c>
      <c r="E435" s="67">
        <f t="shared" ca="1" si="29"/>
        <v>0.02</v>
      </c>
      <c r="F435" s="21"/>
    </row>
    <row r="436" spans="1:6" x14ac:dyDescent="0.3">
      <c r="A436" s="34">
        <v>432</v>
      </c>
      <c r="B436" s="103">
        <f t="shared" ca="1" si="30"/>
        <v>59871</v>
      </c>
      <c r="C436" s="67">
        <f t="shared" ca="1" si="27"/>
        <v>-0.01</v>
      </c>
      <c r="D436" s="103">
        <f t="shared" ca="1" si="28"/>
        <v>5348681</v>
      </c>
      <c r="E436" s="67">
        <f t="shared" ca="1" si="29"/>
        <v>-0.05</v>
      </c>
      <c r="F436" s="21"/>
    </row>
    <row r="437" spans="1:6" x14ac:dyDescent="0.3">
      <c r="A437" s="34">
        <v>433</v>
      </c>
      <c r="B437" s="103">
        <f t="shared" ca="1" si="30"/>
        <v>62646</v>
      </c>
      <c r="C437" s="67">
        <f t="shared" ca="1" si="27"/>
        <v>0.04</v>
      </c>
      <c r="D437" s="103">
        <f t="shared" ca="1" si="28"/>
        <v>5701991</v>
      </c>
      <c r="E437" s="67">
        <f t="shared" ca="1" si="29"/>
        <v>0.01</v>
      </c>
      <c r="F437" s="21"/>
    </row>
    <row r="438" spans="1:6" x14ac:dyDescent="0.3">
      <c r="A438" s="34">
        <v>434</v>
      </c>
      <c r="B438" s="103">
        <f t="shared" ca="1" si="30"/>
        <v>61395</v>
      </c>
      <c r="C438" s="67">
        <f t="shared" ca="1" si="27"/>
        <v>0.02</v>
      </c>
      <c r="D438" s="103">
        <f t="shared" ca="1" si="28"/>
        <v>5571836</v>
      </c>
      <c r="E438" s="67">
        <f t="shared" ca="1" si="29"/>
        <v>-0.01</v>
      </c>
      <c r="F438" s="21"/>
    </row>
    <row r="439" spans="1:6" x14ac:dyDescent="0.3">
      <c r="A439" s="34">
        <v>435</v>
      </c>
      <c r="B439" s="103">
        <f t="shared" ca="1" si="30"/>
        <v>58013</v>
      </c>
      <c r="C439" s="67">
        <f t="shared" ca="1" si="27"/>
        <v>-0.04</v>
      </c>
      <c r="D439" s="103">
        <f t="shared" ca="1" si="28"/>
        <v>5367536</v>
      </c>
      <c r="E439" s="67">
        <f t="shared" ca="1" si="29"/>
        <v>-0.05</v>
      </c>
      <c r="F439" s="21"/>
    </row>
    <row r="440" spans="1:6" x14ac:dyDescent="0.3">
      <c r="A440" s="34">
        <v>436</v>
      </c>
      <c r="B440" s="103">
        <f t="shared" ca="1" si="30"/>
        <v>58412</v>
      </c>
      <c r="C440" s="67">
        <f t="shared" ca="1" si="27"/>
        <v>-0.03</v>
      </c>
      <c r="D440" s="103">
        <f t="shared" ca="1" si="28"/>
        <v>5877417</v>
      </c>
      <c r="E440" s="67">
        <f t="shared" ca="1" si="29"/>
        <v>0.04</v>
      </c>
      <c r="F440" s="21"/>
    </row>
    <row r="441" spans="1:6" x14ac:dyDescent="0.3">
      <c r="A441" s="34">
        <v>437</v>
      </c>
      <c r="B441" s="103">
        <f t="shared" ca="1" si="30"/>
        <v>57370</v>
      </c>
      <c r="C441" s="67">
        <f t="shared" ca="1" si="27"/>
        <v>-0.05</v>
      </c>
      <c r="D441" s="103">
        <f t="shared" ca="1" si="28"/>
        <v>5375389</v>
      </c>
      <c r="E441" s="67">
        <f t="shared" ca="1" si="29"/>
        <v>-0.05</v>
      </c>
      <c r="F441" s="21"/>
    </row>
    <row r="442" spans="1:6" x14ac:dyDescent="0.3">
      <c r="A442" s="34">
        <v>438</v>
      </c>
      <c r="B442" s="103">
        <f t="shared" ca="1" si="30"/>
        <v>59030</v>
      </c>
      <c r="C442" s="67">
        <f t="shared" ca="1" si="27"/>
        <v>-0.02</v>
      </c>
      <c r="D442" s="103">
        <f t="shared" ca="1" si="28"/>
        <v>5751257</v>
      </c>
      <c r="E442" s="67">
        <f t="shared" ca="1" si="29"/>
        <v>0.02</v>
      </c>
      <c r="F442" s="21"/>
    </row>
    <row r="443" spans="1:6" x14ac:dyDescent="0.3">
      <c r="A443" s="34">
        <v>439</v>
      </c>
      <c r="B443" s="103">
        <f t="shared" ca="1" si="30"/>
        <v>60987</v>
      </c>
      <c r="C443" s="67">
        <f t="shared" ca="1" si="27"/>
        <v>0.01</v>
      </c>
      <c r="D443" s="103">
        <f t="shared" ca="1" si="28"/>
        <v>5375082</v>
      </c>
      <c r="E443" s="67">
        <f t="shared" ca="1" si="29"/>
        <v>-0.05</v>
      </c>
      <c r="F443" s="21"/>
    </row>
    <row r="444" spans="1:6" x14ac:dyDescent="0.3">
      <c r="A444" s="34">
        <v>440</v>
      </c>
      <c r="B444" s="103">
        <f t="shared" ca="1" si="30"/>
        <v>57480</v>
      </c>
      <c r="C444" s="67">
        <f t="shared" ca="1" si="27"/>
        <v>-0.05</v>
      </c>
      <c r="D444" s="103">
        <f t="shared" ca="1" si="28"/>
        <v>5708706</v>
      </c>
      <c r="E444" s="67">
        <f t="shared" ca="1" si="29"/>
        <v>0.01</v>
      </c>
      <c r="F444" s="21"/>
    </row>
    <row r="445" spans="1:6" x14ac:dyDescent="0.3">
      <c r="A445" s="34">
        <v>441</v>
      </c>
      <c r="B445" s="103">
        <f t="shared" ca="1" si="30"/>
        <v>59556</v>
      </c>
      <c r="C445" s="67">
        <f t="shared" ca="1" si="27"/>
        <v>-0.01</v>
      </c>
      <c r="D445" s="103">
        <f t="shared" ca="1" si="28"/>
        <v>5333262</v>
      </c>
      <c r="E445" s="67">
        <f t="shared" ca="1" si="29"/>
        <v>-0.05</v>
      </c>
      <c r="F445" s="21"/>
    </row>
    <row r="446" spans="1:6" x14ac:dyDescent="0.3">
      <c r="A446" s="34">
        <v>442</v>
      </c>
      <c r="B446" s="103">
        <f t="shared" ca="1" si="30"/>
        <v>58919</v>
      </c>
      <c r="C446" s="67">
        <f t="shared" ca="1" si="27"/>
        <v>-0.02</v>
      </c>
      <c r="D446" s="103">
        <f t="shared" ca="1" si="28"/>
        <v>5573983</v>
      </c>
      <c r="E446" s="67">
        <f t="shared" ca="1" si="29"/>
        <v>-0.01</v>
      </c>
      <c r="F446" s="21"/>
    </row>
    <row r="447" spans="1:6" x14ac:dyDescent="0.3">
      <c r="A447" s="34">
        <v>443</v>
      </c>
      <c r="B447" s="103">
        <f t="shared" ca="1" si="30"/>
        <v>61131</v>
      </c>
      <c r="C447" s="67">
        <f t="shared" ca="1" si="27"/>
        <v>0.01</v>
      </c>
      <c r="D447" s="103">
        <f t="shared" ca="1" si="28"/>
        <v>5843555</v>
      </c>
      <c r="E447" s="67">
        <f t="shared" ca="1" si="29"/>
        <v>0.04</v>
      </c>
      <c r="F447" s="21"/>
    </row>
    <row r="448" spans="1:6" x14ac:dyDescent="0.3">
      <c r="A448" s="34">
        <v>444</v>
      </c>
      <c r="B448" s="103">
        <f t="shared" ca="1" si="30"/>
        <v>62563</v>
      </c>
      <c r="C448" s="67">
        <f t="shared" ca="1" si="27"/>
        <v>0.04</v>
      </c>
      <c r="D448" s="103">
        <f t="shared" ca="1" si="28"/>
        <v>5750287</v>
      </c>
      <c r="E448" s="67">
        <f t="shared" ca="1" si="29"/>
        <v>0.02</v>
      </c>
      <c r="F448" s="21"/>
    </row>
    <row r="449" spans="1:6" x14ac:dyDescent="0.3">
      <c r="A449" s="34">
        <v>445</v>
      </c>
      <c r="B449" s="103">
        <f t="shared" ca="1" si="30"/>
        <v>59849</v>
      </c>
      <c r="C449" s="67">
        <f t="shared" ca="1" si="27"/>
        <v>-0.01</v>
      </c>
      <c r="D449" s="103">
        <f t="shared" ca="1" si="28"/>
        <v>5449425</v>
      </c>
      <c r="E449" s="67">
        <f t="shared" ca="1" si="29"/>
        <v>-0.03</v>
      </c>
      <c r="F449" s="21"/>
    </row>
    <row r="450" spans="1:6" x14ac:dyDescent="0.3">
      <c r="A450" s="34">
        <v>446</v>
      </c>
      <c r="B450" s="103">
        <f t="shared" ca="1" si="30"/>
        <v>62098</v>
      </c>
      <c r="C450" s="67">
        <f t="shared" ca="1" si="27"/>
        <v>0.03</v>
      </c>
      <c r="D450" s="103">
        <f t="shared" ca="1" si="28"/>
        <v>5865876</v>
      </c>
      <c r="E450" s="67">
        <f t="shared" ca="1" si="29"/>
        <v>0.04</v>
      </c>
      <c r="F450" s="21"/>
    </row>
    <row r="451" spans="1:6" x14ac:dyDescent="0.3">
      <c r="A451" s="34">
        <v>447</v>
      </c>
      <c r="B451" s="103">
        <f t="shared" ca="1" si="30"/>
        <v>61609</v>
      </c>
      <c r="C451" s="67">
        <f t="shared" ca="1" si="27"/>
        <v>0.02</v>
      </c>
      <c r="D451" s="103">
        <f t="shared" ca="1" si="28"/>
        <v>5710525</v>
      </c>
      <c r="E451" s="67">
        <f t="shared" ca="1" si="29"/>
        <v>0.01</v>
      </c>
      <c r="F451" s="21"/>
    </row>
    <row r="452" spans="1:6" x14ac:dyDescent="0.3">
      <c r="A452" s="34">
        <v>448</v>
      </c>
      <c r="B452" s="103">
        <f t="shared" ca="1" si="30"/>
        <v>57419</v>
      </c>
      <c r="C452" s="67">
        <f t="shared" ca="1" si="27"/>
        <v>-0.05</v>
      </c>
      <c r="D452" s="103">
        <f t="shared" ca="1" si="28"/>
        <v>5717714</v>
      </c>
      <c r="E452" s="67">
        <f t="shared" ca="1" si="29"/>
        <v>0.02</v>
      </c>
      <c r="F452" s="21"/>
    </row>
    <row r="453" spans="1:6" x14ac:dyDescent="0.3">
      <c r="A453" s="34">
        <v>449</v>
      </c>
      <c r="B453" s="103">
        <f t="shared" ca="1" si="30"/>
        <v>59640</v>
      </c>
      <c r="C453" s="67">
        <f t="shared" ref="C453:C516" ca="1" si="31">_xlfn.XLOOKUP(B453,selling_price_range,Range,"",-1)</f>
        <v>-0.01</v>
      </c>
      <c r="D453" s="103">
        <f t="shared" ref="D453:D516" ca="1" si="32">RANDBETWEEN($P$5*(1+$G$5),$P$5*(1+$G$15))</f>
        <v>5592473</v>
      </c>
      <c r="E453" s="67">
        <f t="shared" ref="E453:E516" ca="1" si="33">_xlfn.XLOOKUP(D453,expenses_range,Range,"",-1)</f>
        <v>-0.01</v>
      </c>
      <c r="F453" s="21"/>
    </row>
    <row r="454" spans="1:6" x14ac:dyDescent="0.3">
      <c r="A454" s="34">
        <v>450</v>
      </c>
      <c r="B454" s="103">
        <f t="shared" ref="B454:B517" ca="1" si="34">RANDBETWEEN($P$4*(1+$G$5),$P$4*(1+$G$15))</f>
        <v>60948</v>
      </c>
      <c r="C454" s="67">
        <f t="shared" ca="1" si="31"/>
        <v>0.01</v>
      </c>
      <c r="D454" s="103">
        <f t="shared" ca="1" si="32"/>
        <v>5615143</v>
      </c>
      <c r="E454" s="67">
        <f t="shared" ca="1" si="33"/>
        <v>0</v>
      </c>
      <c r="F454" s="21"/>
    </row>
    <row r="455" spans="1:6" x14ac:dyDescent="0.3">
      <c r="A455" s="34">
        <v>451</v>
      </c>
      <c r="B455" s="103">
        <f t="shared" ca="1" si="34"/>
        <v>57605</v>
      </c>
      <c r="C455" s="67">
        <f t="shared" ca="1" si="31"/>
        <v>-0.04</v>
      </c>
      <c r="D455" s="103">
        <f t="shared" ca="1" si="32"/>
        <v>5830233</v>
      </c>
      <c r="E455" s="67">
        <f t="shared" ca="1" si="33"/>
        <v>0.04</v>
      </c>
      <c r="F455" s="21"/>
    </row>
    <row r="456" spans="1:6" x14ac:dyDescent="0.3">
      <c r="A456" s="34">
        <v>452</v>
      </c>
      <c r="B456" s="103">
        <f t="shared" ca="1" si="34"/>
        <v>57378</v>
      </c>
      <c r="C456" s="67">
        <f t="shared" ca="1" si="31"/>
        <v>-0.05</v>
      </c>
      <c r="D456" s="103">
        <f t="shared" ca="1" si="32"/>
        <v>5835699</v>
      </c>
      <c r="E456" s="67">
        <f t="shared" ca="1" si="33"/>
        <v>0.04</v>
      </c>
      <c r="F456" s="21"/>
    </row>
    <row r="457" spans="1:6" x14ac:dyDescent="0.3">
      <c r="A457" s="34">
        <v>453</v>
      </c>
      <c r="B457" s="103">
        <f t="shared" ca="1" si="34"/>
        <v>60438</v>
      </c>
      <c r="C457" s="67">
        <f t="shared" ca="1" si="31"/>
        <v>0</v>
      </c>
      <c r="D457" s="103">
        <f t="shared" ca="1" si="32"/>
        <v>5382219</v>
      </c>
      <c r="E457" s="67">
        <f t="shared" ca="1" si="33"/>
        <v>-0.04</v>
      </c>
      <c r="F457" s="21"/>
    </row>
    <row r="458" spans="1:6" x14ac:dyDescent="0.3">
      <c r="A458" s="34">
        <v>454</v>
      </c>
      <c r="B458" s="103">
        <f t="shared" ca="1" si="34"/>
        <v>61835</v>
      </c>
      <c r="C458" s="67">
        <f t="shared" ca="1" si="31"/>
        <v>0.03</v>
      </c>
      <c r="D458" s="103">
        <f t="shared" ca="1" si="32"/>
        <v>5640461</v>
      </c>
      <c r="E458" s="67">
        <f t="shared" ca="1" si="33"/>
        <v>0</v>
      </c>
      <c r="F458" s="21"/>
    </row>
    <row r="459" spans="1:6" x14ac:dyDescent="0.3">
      <c r="A459" s="34">
        <v>455</v>
      </c>
      <c r="B459" s="103">
        <f t="shared" ca="1" si="34"/>
        <v>61622</v>
      </c>
      <c r="C459" s="67">
        <f t="shared" ca="1" si="31"/>
        <v>0.02</v>
      </c>
      <c r="D459" s="103">
        <f t="shared" ca="1" si="32"/>
        <v>5442931</v>
      </c>
      <c r="E459" s="67">
        <f t="shared" ca="1" si="33"/>
        <v>-0.03</v>
      </c>
      <c r="F459" s="21"/>
    </row>
    <row r="460" spans="1:6" x14ac:dyDescent="0.3">
      <c r="A460" s="34">
        <v>456</v>
      </c>
      <c r="B460" s="103">
        <f t="shared" ca="1" si="34"/>
        <v>62182</v>
      </c>
      <c r="C460" s="67">
        <f t="shared" ca="1" si="31"/>
        <v>0.03</v>
      </c>
      <c r="D460" s="103">
        <f t="shared" ca="1" si="32"/>
        <v>5769833</v>
      </c>
      <c r="E460" s="67">
        <f t="shared" ca="1" si="33"/>
        <v>0.02</v>
      </c>
      <c r="F460" s="21"/>
    </row>
    <row r="461" spans="1:6" x14ac:dyDescent="0.3">
      <c r="A461" s="34">
        <v>457</v>
      </c>
      <c r="B461" s="103">
        <f t="shared" ca="1" si="34"/>
        <v>61746</v>
      </c>
      <c r="C461" s="67">
        <f t="shared" ca="1" si="31"/>
        <v>0.02</v>
      </c>
      <c r="D461" s="103">
        <f t="shared" ca="1" si="32"/>
        <v>5845273</v>
      </c>
      <c r="E461" s="67">
        <f t="shared" ca="1" si="33"/>
        <v>0.04</v>
      </c>
      <c r="F461" s="21"/>
    </row>
    <row r="462" spans="1:6" x14ac:dyDescent="0.3">
      <c r="A462" s="34">
        <v>458</v>
      </c>
      <c r="B462" s="103">
        <f t="shared" ca="1" si="34"/>
        <v>59801</v>
      </c>
      <c r="C462" s="67">
        <f t="shared" ca="1" si="31"/>
        <v>-0.01</v>
      </c>
      <c r="D462" s="103">
        <f t="shared" ca="1" si="32"/>
        <v>5387197</v>
      </c>
      <c r="E462" s="67">
        <f t="shared" ca="1" si="33"/>
        <v>-0.04</v>
      </c>
      <c r="F462" s="21"/>
    </row>
    <row r="463" spans="1:6" x14ac:dyDescent="0.3">
      <c r="A463" s="34">
        <v>459</v>
      </c>
      <c r="B463" s="103">
        <f t="shared" ca="1" si="34"/>
        <v>57564</v>
      </c>
      <c r="C463" s="67">
        <f t="shared" ca="1" si="31"/>
        <v>-0.05</v>
      </c>
      <c r="D463" s="103">
        <f t="shared" ca="1" si="32"/>
        <v>5712513</v>
      </c>
      <c r="E463" s="67">
        <f t="shared" ca="1" si="33"/>
        <v>0.01</v>
      </c>
      <c r="F463" s="21"/>
    </row>
    <row r="464" spans="1:6" x14ac:dyDescent="0.3">
      <c r="A464" s="34">
        <v>460</v>
      </c>
      <c r="B464" s="103">
        <f t="shared" ca="1" si="34"/>
        <v>62980</v>
      </c>
      <c r="C464" s="67">
        <f t="shared" ca="1" si="31"/>
        <v>0.04</v>
      </c>
      <c r="D464" s="103">
        <f t="shared" ca="1" si="32"/>
        <v>5749062</v>
      </c>
      <c r="E464" s="67">
        <f t="shared" ca="1" si="33"/>
        <v>0.02</v>
      </c>
      <c r="F464" s="21"/>
    </row>
    <row r="465" spans="1:6" x14ac:dyDescent="0.3">
      <c r="A465" s="34">
        <v>461</v>
      </c>
      <c r="B465" s="103">
        <f t="shared" ca="1" si="34"/>
        <v>61579</v>
      </c>
      <c r="C465" s="67">
        <f t="shared" ca="1" si="31"/>
        <v>0.02</v>
      </c>
      <c r="D465" s="103">
        <f t="shared" ca="1" si="32"/>
        <v>5752244</v>
      </c>
      <c r="E465" s="67">
        <f t="shared" ca="1" si="33"/>
        <v>0.02</v>
      </c>
      <c r="F465" s="21"/>
    </row>
    <row r="466" spans="1:6" x14ac:dyDescent="0.3">
      <c r="A466" s="34">
        <v>462</v>
      </c>
      <c r="B466" s="103">
        <f t="shared" ca="1" si="34"/>
        <v>59806</v>
      </c>
      <c r="C466" s="67">
        <f t="shared" ca="1" si="31"/>
        <v>-0.01</v>
      </c>
      <c r="D466" s="103">
        <f t="shared" ca="1" si="32"/>
        <v>5527569</v>
      </c>
      <c r="E466" s="67">
        <f t="shared" ca="1" si="33"/>
        <v>-0.02</v>
      </c>
      <c r="F466" s="21"/>
    </row>
    <row r="467" spans="1:6" x14ac:dyDescent="0.3">
      <c r="A467" s="34">
        <v>463</v>
      </c>
      <c r="B467" s="103">
        <f t="shared" ca="1" si="34"/>
        <v>60350</v>
      </c>
      <c r="C467" s="67">
        <f t="shared" ca="1" si="31"/>
        <v>0</v>
      </c>
      <c r="D467" s="103">
        <f t="shared" ca="1" si="32"/>
        <v>5496977</v>
      </c>
      <c r="E467" s="67">
        <f t="shared" ca="1" si="33"/>
        <v>-0.02</v>
      </c>
      <c r="F467" s="21"/>
    </row>
    <row r="468" spans="1:6" x14ac:dyDescent="0.3">
      <c r="A468" s="34">
        <v>464</v>
      </c>
      <c r="B468" s="103">
        <f t="shared" ca="1" si="34"/>
        <v>61675</v>
      </c>
      <c r="C468" s="67">
        <f t="shared" ca="1" si="31"/>
        <v>0.02</v>
      </c>
      <c r="D468" s="103">
        <f t="shared" ca="1" si="32"/>
        <v>5832416</v>
      </c>
      <c r="E468" s="67">
        <f t="shared" ca="1" si="33"/>
        <v>0.04</v>
      </c>
      <c r="F468" s="21"/>
    </row>
    <row r="469" spans="1:6" x14ac:dyDescent="0.3">
      <c r="A469" s="34">
        <v>465</v>
      </c>
      <c r="B469" s="103">
        <f t="shared" ca="1" si="34"/>
        <v>60272</v>
      </c>
      <c r="C469" s="67">
        <f t="shared" ca="1" si="31"/>
        <v>0</v>
      </c>
      <c r="D469" s="103">
        <f t="shared" ca="1" si="32"/>
        <v>5676506</v>
      </c>
      <c r="E469" s="67">
        <f t="shared" ca="1" si="33"/>
        <v>0.01</v>
      </c>
      <c r="F469" s="21"/>
    </row>
    <row r="470" spans="1:6" x14ac:dyDescent="0.3">
      <c r="A470" s="34">
        <v>466</v>
      </c>
      <c r="B470" s="103">
        <f t="shared" ca="1" si="34"/>
        <v>57969</v>
      </c>
      <c r="C470" s="67">
        <f t="shared" ca="1" si="31"/>
        <v>-0.04</v>
      </c>
      <c r="D470" s="103">
        <f t="shared" ca="1" si="32"/>
        <v>5741370</v>
      </c>
      <c r="E470" s="67">
        <f t="shared" ca="1" si="33"/>
        <v>0.02</v>
      </c>
      <c r="F470" s="21"/>
    </row>
    <row r="471" spans="1:6" x14ac:dyDescent="0.3">
      <c r="A471" s="34">
        <v>467</v>
      </c>
      <c r="B471" s="103">
        <f t="shared" ca="1" si="34"/>
        <v>60439</v>
      </c>
      <c r="C471" s="67">
        <f t="shared" ca="1" si="31"/>
        <v>0</v>
      </c>
      <c r="D471" s="103">
        <f t="shared" ca="1" si="32"/>
        <v>5617729</v>
      </c>
      <c r="E471" s="67">
        <f t="shared" ca="1" si="33"/>
        <v>0</v>
      </c>
      <c r="F471" s="21"/>
    </row>
    <row r="472" spans="1:6" x14ac:dyDescent="0.3">
      <c r="A472" s="34">
        <v>468</v>
      </c>
      <c r="B472" s="103">
        <f t="shared" ca="1" si="34"/>
        <v>62840</v>
      </c>
      <c r="C472" s="67">
        <f t="shared" ca="1" si="31"/>
        <v>0.04</v>
      </c>
      <c r="D472" s="103">
        <f t="shared" ca="1" si="32"/>
        <v>5851157</v>
      </c>
      <c r="E472" s="67">
        <f t="shared" ca="1" si="33"/>
        <v>0.04</v>
      </c>
      <c r="F472" s="21"/>
    </row>
    <row r="473" spans="1:6" x14ac:dyDescent="0.3">
      <c r="A473" s="34">
        <v>469</v>
      </c>
      <c r="B473" s="103">
        <f t="shared" ca="1" si="34"/>
        <v>62883</v>
      </c>
      <c r="C473" s="67">
        <f t="shared" ca="1" si="31"/>
        <v>0.04</v>
      </c>
      <c r="D473" s="103">
        <f t="shared" ca="1" si="32"/>
        <v>5844787</v>
      </c>
      <c r="E473" s="67">
        <f t="shared" ca="1" si="33"/>
        <v>0.04</v>
      </c>
      <c r="F473" s="21"/>
    </row>
    <row r="474" spans="1:6" x14ac:dyDescent="0.3">
      <c r="A474" s="34">
        <v>470</v>
      </c>
      <c r="B474" s="103">
        <f t="shared" ca="1" si="34"/>
        <v>59603</v>
      </c>
      <c r="C474" s="67">
        <f t="shared" ca="1" si="31"/>
        <v>-0.01</v>
      </c>
      <c r="D474" s="103">
        <f t="shared" ca="1" si="32"/>
        <v>5503352</v>
      </c>
      <c r="E474" s="67">
        <f t="shared" ca="1" si="33"/>
        <v>-0.02</v>
      </c>
      <c r="F474" s="21"/>
    </row>
    <row r="475" spans="1:6" x14ac:dyDescent="0.3">
      <c r="A475" s="34">
        <v>471</v>
      </c>
      <c r="B475" s="103">
        <f t="shared" ca="1" si="34"/>
        <v>57101</v>
      </c>
      <c r="C475" s="67">
        <f t="shared" ca="1" si="31"/>
        <v>-0.05</v>
      </c>
      <c r="D475" s="103">
        <f t="shared" ca="1" si="32"/>
        <v>5401875</v>
      </c>
      <c r="E475" s="67">
        <f t="shared" ca="1" si="33"/>
        <v>-0.04</v>
      </c>
      <c r="F475" s="21"/>
    </row>
    <row r="476" spans="1:6" x14ac:dyDescent="0.3">
      <c r="A476" s="34">
        <v>472</v>
      </c>
      <c r="B476" s="103">
        <f t="shared" ca="1" si="34"/>
        <v>57570</v>
      </c>
      <c r="C476" s="67">
        <f t="shared" ca="1" si="31"/>
        <v>-0.05</v>
      </c>
      <c r="D476" s="103">
        <f t="shared" ca="1" si="32"/>
        <v>5367955</v>
      </c>
      <c r="E476" s="67">
        <f t="shared" ca="1" si="33"/>
        <v>-0.05</v>
      </c>
      <c r="F476" s="21"/>
    </row>
    <row r="477" spans="1:6" x14ac:dyDescent="0.3">
      <c r="A477" s="34">
        <v>473</v>
      </c>
      <c r="B477" s="103">
        <f t="shared" ca="1" si="34"/>
        <v>57009</v>
      </c>
      <c r="C477" s="67">
        <f t="shared" ca="1" si="31"/>
        <v>-0.05</v>
      </c>
      <c r="D477" s="103">
        <f t="shared" ca="1" si="32"/>
        <v>5603412</v>
      </c>
      <c r="E477" s="67">
        <f t="shared" ca="1" si="33"/>
        <v>-0.01</v>
      </c>
      <c r="F477" s="21"/>
    </row>
    <row r="478" spans="1:6" x14ac:dyDescent="0.3">
      <c r="A478" s="34">
        <v>474</v>
      </c>
      <c r="B478" s="103">
        <f t="shared" ca="1" si="34"/>
        <v>58895</v>
      </c>
      <c r="C478" s="67">
        <f t="shared" ca="1" si="31"/>
        <v>-0.02</v>
      </c>
      <c r="D478" s="103">
        <f t="shared" ca="1" si="32"/>
        <v>5606383</v>
      </c>
      <c r="E478" s="67">
        <f t="shared" ca="1" si="33"/>
        <v>0</v>
      </c>
      <c r="F478" s="21"/>
    </row>
    <row r="479" spans="1:6" x14ac:dyDescent="0.3">
      <c r="A479" s="34">
        <v>475</v>
      </c>
      <c r="B479" s="103">
        <f t="shared" ca="1" si="34"/>
        <v>57739</v>
      </c>
      <c r="C479" s="67">
        <f t="shared" ca="1" si="31"/>
        <v>-0.04</v>
      </c>
      <c r="D479" s="103">
        <f t="shared" ca="1" si="32"/>
        <v>5590400</v>
      </c>
      <c r="E479" s="67">
        <f t="shared" ca="1" si="33"/>
        <v>-0.01</v>
      </c>
      <c r="F479" s="21"/>
    </row>
    <row r="480" spans="1:6" x14ac:dyDescent="0.3">
      <c r="A480" s="34">
        <v>476</v>
      </c>
      <c r="B480" s="103">
        <f t="shared" ca="1" si="34"/>
        <v>60362</v>
      </c>
      <c r="C480" s="67">
        <f t="shared" ca="1" si="31"/>
        <v>0</v>
      </c>
      <c r="D480" s="103">
        <f t="shared" ca="1" si="32"/>
        <v>5849662</v>
      </c>
      <c r="E480" s="67">
        <f t="shared" ca="1" si="33"/>
        <v>0.04</v>
      </c>
      <c r="F480" s="21"/>
    </row>
    <row r="481" spans="1:6" x14ac:dyDescent="0.3">
      <c r="A481" s="34">
        <v>477</v>
      </c>
      <c r="B481" s="103">
        <f t="shared" ca="1" si="34"/>
        <v>60527</v>
      </c>
      <c r="C481" s="67">
        <f t="shared" ca="1" si="31"/>
        <v>0</v>
      </c>
      <c r="D481" s="103">
        <f t="shared" ca="1" si="32"/>
        <v>5628727</v>
      </c>
      <c r="E481" s="67">
        <f t="shared" ca="1" si="33"/>
        <v>0</v>
      </c>
      <c r="F481" s="21"/>
    </row>
    <row r="482" spans="1:6" x14ac:dyDescent="0.3">
      <c r="A482" s="34">
        <v>478</v>
      </c>
      <c r="B482" s="103">
        <f t="shared" ca="1" si="34"/>
        <v>59731</v>
      </c>
      <c r="C482" s="67">
        <f t="shared" ca="1" si="31"/>
        <v>-0.01</v>
      </c>
      <c r="D482" s="103">
        <f t="shared" ca="1" si="32"/>
        <v>5465745</v>
      </c>
      <c r="E482" s="67">
        <f t="shared" ca="1" si="33"/>
        <v>-0.03</v>
      </c>
      <c r="F482" s="21"/>
    </row>
    <row r="483" spans="1:6" x14ac:dyDescent="0.3">
      <c r="A483" s="34">
        <v>479</v>
      </c>
      <c r="B483" s="103">
        <f t="shared" ca="1" si="34"/>
        <v>58364</v>
      </c>
      <c r="C483" s="67">
        <f t="shared" ca="1" si="31"/>
        <v>-0.03</v>
      </c>
      <c r="D483" s="103">
        <f t="shared" ca="1" si="32"/>
        <v>5457750</v>
      </c>
      <c r="E483" s="67">
        <f t="shared" ca="1" si="33"/>
        <v>-0.03</v>
      </c>
      <c r="F483" s="21"/>
    </row>
    <row r="484" spans="1:6" x14ac:dyDescent="0.3">
      <c r="A484" s="34">
        <v>480</v>
      </c>
      <c r="B484" s="103">
        <f t="shared" ca="1" si="34"/>
        <v>61637</v>
      </c>
      <c r="C484" s="67">
        <f t="shared" ca="1" si="31"/>
        <v>0.02</v>
      </c>
      <c r="D484" s="103">
        <f t="shared" ca="1" si="32"/>
        <v>5436235</v>
      </c>
      <c r="E484" s="67">
        <f t="shared" ca="1" si="33"/>
        <v>-0.04</v>
      </c>
      <c r="F484" s="21"/>
    </row>
    <row r="485" spans="1:6" x14ac:dyDescent="0.3">
      <c r="A485" s="34">
        <v>481</v>
      </c>
      <c r="B485" s="103">
        <f t="shared" ca="1" si="34"/>
        <v>62012</v>
      </c>
      <c r="C485" s="67">
        <f t="shared" ca="1" si="31"/>
        <v>0.03</v>
      </c>
      <c r="D485" s="103">
        <f t="shared" ca="1" si="32"/>
        <v>5680046</v>
      </c>
      <c r="E485" s="67">
        <f t="shared" ca="1" si="33"/>
        <v>0.01</v>
      </c>
      <c r="F485" s="21"/>
    </row>
    <row r="486" spans="1:6" x14ac:dyDescent="0.3">
      <c r="A486" s="34">
        <v>482</v>
      </c>
      <c r="B486" s="103">
        <f t="shared" ca="1" si="34"/>
        <v>57214</v>
      </c>
      <c r="C486" s="67">
        <f t="shared" ca="1" si="31"/>
        <v>-0.05</v>
      </c>
      <c r="D486" s="103">
        <f t="shared" ca="1" si="32"/>
        <v>5392259</v>
      </c>
      <c r="E486" s="67">
        <f t="shared" ca="1" si="33"/>
        <v>-0.04</v>
      </c>
      <c r="F486" s="21"/>
    </row>
    <row r="487" spans="1:6" x14ac:dyDescent="0.3">
      <c r="A487" s="34">
        <v>483</v>
      </c>
      <c r="B487" s="103">
        <f t="shared" ca="1" si="34"/>
        <v>61064</v>
      </c>
      <c r="C487" s="67">
        <f t="shared" ca="1" si="31"/>
        <v>0.01</v>
      </c>
      <c r="D487" s="103">
        <f t="shared" ca="1" si="32"/>
        <v>5873368</v>
      </c>
      <c r="E487" s="67">
        <f t="shared" ca="1" si="33"/>
        <v>0.04</v>
      </c>
      <c r="F487" s="21"/>
    </row>
    <row r="488" spans="1:6" x14ac:dyDescent="0.3">
      <c r="A488" s="34">
        <v>484</v>
      </c>
      <c r="B488" s="103">
        <f t="shared" ca="1" si="34"/>
        <v>59269</v>
      </c>
      <c r="C488" s="67">
        <f t="shared" ca="1" si="31"/>
        <v>-0.02</v>
      </c>
      <c r="D488" s="103">
        <f t="shared" ca="1" si="32"/>
        <v>5561952</v>
      </c>
      <c r="E488" s="67">
        <f t="shared" ca="1" si="33"/>
        <v>-0.01</v>
      </c>
      <c r="F488" s="21"/>
    </row>
    <row r="489" spans="1:6" x14ac:dyDescent="0.3">
      <c r="A489" s="34">
        <v>485</v>
      </c>
      <c r="B489" s="103">
        <f t="shared" ca="1" si="34"/>
        <v>62418</v>
      </c>
      <c r="C489" s="67">
        <f t="shared" ca="1" si="31"/>
        <v>0.04</v>
      </c>
      <c r="D489" s="103">
        <f t="shared" ca="1" si="32"/>
        <v>5574554</v>
      </c>
      <c r="E489" s="67">
        <f t="shared" ca="1" si="33"/>
        <v>-0.01</v>
      </c>
      <c r="F489" s="21"/>
    </row>
    <row r="490" spans="1:6" x14ac:dyDescent="0.3">
      <c r="A490" s="34">
        <v>486</v>
      </c>
      <c r="B490" s="103">
        <f t="shared" ca="1" si="34"/>
        <v>59766</v>
      </c>
      <c r="C490" s="67">
        <f t="shared" ca="1" si="31"/>
        <v>-0.01</v>
      </c>
      <c r="D490" s="103">
        <f t="shared" ca="1" si="32"/>
        <v>5719711</v>
      </c>
      <c r="E490" s="67">
        <f t="shared" ca="1" si="33"/>
        <v>0.02</v>
      </c>
      <c r="F490" s="21"/>
    </row>
    <row r="491" spans="1:6" x14ac:dyDescent="0.3">
      <c r="A491" s="34">
        <v>487</v>
      </c>
      <c r="B491" s="103">
        <f t="shared" ca="1" si="34"/>
        <v>62076</v>
      </c>
      <c r="C491" s="67">
        <f t="shared" ca="1" si="31"/>
        <v>0.03</v>
      </c>
      <c r="D491" s="103">
        <f t="shared" ca="1" si="32"/>
        <v>5596562</v>
      </c>
      <c r="E491" s="67">
        <f t="shared" ca="1" si="33"/>
        <v>-0.01</v>
      </c>
      <c r="F491" s="21"/>
    </row>
    <row r="492" spans="1:6" x14ac:dyDescent="0.3">
      <c r="A492" s="34">
        <v>488</v>
      </c>
      <c r="B492" s="103">
        <f t="shared" ca="1" si="34"/>
        <v>62348</v>
      </c>
      <c r="C492" s="67">
        <f t="shared" ca="1" si="31"/>
        <v>0.03</v>
      </c>
      <c r="D492" s="103">
        <f t="shared" ca="1" si="32"/>
        <v>5630681</v>
      </c>
      <c r="E492" s="67">
        <f t="shared" ca="1" si="33"/>
        <v>0</v>
      </c>
      <c r="F492" s="21"/>
    </row>
    <row r="493" spans="1:6" x14ac:dyDescent="0.3">
      <c r="A493" s="34">
        <v>489</v>
      </c>
      <c r="B493" s="103">
        <f t="shared" ca="1" si="34"/>
        <v>60419</v>
      </c>
      <c r="C493" s="67">
        <f t="shared" ca="1" si="31"/>
        <v>0</v>
      </c>
      <c r="D493" s="103">
        <f t="shared" ca="1" si="32"/>
        <v>5712378</v>
      </c>
      <c r="E493" s="67">
        <f t="shared" ca="1" si="33"/>
        <v>0.01</v>
      </c>
      <c r="F493" s="21"/>
    </row>
    <row r="494" spans="1:6" x14ac:dyDescent="0.3">
      <c r="A494" s="34">
        <v>490</v>
      </c>
      <c r="B494" s="103">
        <f t="shared" ca="1" si="34"/>
        <v>57221</v>
      </c>
      <c r="C494" s="67">
        <f t="shared" ca="1" si="31"/>
        <v>-0.05</v>
      </c>
      <c r="D494" s="103">
        <f t="shared" ca="1" si="32"/>
        <v>5638857</v>
      </c>
      <c r="E494" s="67">
        <f t="shared" ca="1" si="33"/>
        <v>0</v>
      </c>
      <c r="F494" s="21"/>
    </row>
    <row r="495" spans="1:6" x14ac:dyDescent="0.3">
      <c r="A495" s="34">
        <v>491</v>
      </c>
      <c r="B495" s="103">
        <f t="shared" ca="1" si="34"/>
        <v>58076</v>
      </c>
      <c r="C495" s="67">
        <f t="shared" ca="1" si="31"/>
        <v>-0.04</v>
      </c>
      <c r="D495" s="103">
        <f t="shared" ca="1" si="32"/>
        <v>5351753</v>
      </c>
      <c r="E495" s="67">
        <f t="shared" ca="1" si="33"/>
        <v>-0.05</v>
      </c>
      <c r="F495" s="21"/>
    </row>
    <row r="496" spans="1:6" x14ac:dyDescent="0.3">
      <c r="A496" s="34">
        <v>492</v>
      </c>
      <c r="B496" s="103">
        <f t="shared" ca="1" si="34"/>
        <v>57062</v>
      </c>
      <c r="C496" s="67">
        <f t="shared" ca="1" si="31"/>
        <v>-0.05</v>
      </c>
      <c r="D496" s="103">
        <f t="shared" ca="1" si="32"/>
        <v>5852025</v>
      </c>
      <c r="E496" s="67">
        <f t="shared" ca="1" si="33"/>
        <v>0.04</v>
      </c>
      <c r="F496" s="21"/>
    </row>
    <row r="497" spans="1:6" x14ac:dyDescent="0.3">
      <c r="A497" s="34">
        <v>493</v>
      </c>
      <c r="B497" s="103">
        <f t="shared" ca="1" si="34"/>
        <v>61123</v>
      </c>
      <c r="C497" s="67">
        <f t="shared" ca="1" si="31"/>
        <v>0.01</v>
      </c>
      <c r="D497" s="103">
        <f t="shared" ca="1" si="32"/>
        <v>5435288</v>
      </c>
      <c r="E497" s="67">
        <f t="shared" ca="1" si="33"/>
        <v>-0.04</v>
      </c>
      <c r="F497" s="21"/>
    </row>
    <row r="498" spans="1:6" x14ac:dyDescent="0.3">
      <c r="A498" s="34">
        <v>494</v>
      </c>
      <c r="B498" s="103">
        <f t="shared" ca="1" si="34"/>
        <v>60476</v>
      </c>
      <c r="C498" s="67">
        <f t="shared" ca="1" si="31"/>
        <v>0</v>
      </c>
      <c r="D498" s="103">
        <f t="shared" ca="1" si="32"/>
        <v>5839734</v>
      </c>
      <c r="E498" s="67">
        <f t="shared" ca="1" si="33"/>
        <v>0.04</v>
      </c>
      <c r="F498" s="21"/>
    </row>
    <row r="499" spans="1:6" x14ac:dyDescent="0.3">
      <c r="A499" s="34">
        <v>495</v>
      </c>
      <c r="B499" s="103">
        <f t="shared" ca="1" si="34"/>
        <v>62315</v>
      </c>
      <c r="C499" s="67">
        <f t="shared" ca="1" si="31"/>
        <v>0.03</v>
      </c>
      <c r="D499" s="103">
        <f t="shared" ca="1" si="32"/>
        <v>5497432</v>
      </c>
      <c r="E499" s="67">
        <f t="shared" ca="1" si="33"/>
        <v>-0.02</v>
      </c>
      <c r="F499" s="21"/>
    </row>
    <row r="500" spans="1:6" x14ac:dyDescent="0.3">
      <c r="A500" s="34">
        <v>496</v>
      </c>
      <c r="B500" s="103">
        <f t="shared" ca="1" si="34"/>
        <v>60486</v>
      </c>
      <c r="C500" s="67">
        <f t="shared" ca="1" si="31"/>
        <v>0</v>
      </c>
      <c r="D500" s="103">
        <f t="shared" ca="1" si="32"/>
        <v>5734853</v>
      </c>
      <c r="E500" s="67">
        <f t="shared" ca="1" si="33"/>
        <v>0.02</v>
      </c>
      <c r="F500" s="21"/>
    </row>
    <row r="501" spans="1:6" x14ac:dyDescent="0.3">
      <c r="A501" s="34">
        <v>497</v>
      </c>
      <c r="B501" s="103">
        <f t="shared" ca="1" si="34"/>
        <v>57418</v>
      </c>
      <c r="C501" s="67">
        <f t="shared" ca="1" si="31"/>
        <v>-0.05</v>
      </c>
      <c r="D501" s="103">
        <f t="shared" ca="1" si="32"/>
        <v>5714681</v>
      </c>
      <c r="E501" s="67">
        <f t="shared" ca="1" si="33"/>
        <v>0.01</v>
      </c>
      <c r="F501" s="21"/>
    </row>
    <row r="502" spans="1:6" x14ac:dyDescent="0.3">
      <c r="A502" s="34">
        <v>498</v>
      </c>
      <c r="B502" s="103">
        <f t="shared" ca="1" si="34"/>
        <v>58350</v>
      </c>
      <c r="C502" s="67">
        <f t="shared" ca="1" si="31"/>
        <v>-0.03</v>
      </c>
      <c r="D502" s="103">
        <f t="shared" ca="1" si="32"/>
        <v>5742871</v>
      </c>
      <c r="E502" s="67">
        <f t="shared" ca="1" si="33"/>
        <v>0.02</v>
      </c>
      <c r="F502" s="21"/>
    </row>
    <row r="503" spans="1:6" x14ac:dyDescent="0.3">
      <c r="A503" s="34">
        <v>499</v>
      </c>
      <c r="B503" s="103">
        <f t="shared" ca="1" si="34"/>
        <v>61869</v>
      </c>
      <c r="C503" s="67">
        <f t="shared" ca="1" si="31"/>
        <v>0.03</v>
      </c>
      <c r="D503" s="103">
        <f t="shared" ca="1" si="32"/>
        <v>5330708</v>
      </c>
      <c r="E503" s="67">
        <f t="shared" ca="1" si="33"/>
        <v>-0.05</v>
      </c>
      <c r="F503" s="21"/>
    </row>
    <row r="504" spans="1:6" x14ac:dyDescent="0.3">
      <c r="A504" s="34">
        <v>500</v>
      </c>
      <c r="B504" s="103">
        <f t="shared" ca="1" si="34"/>
        <v>58998</v>
      </c>
      <c r="C504" s="67">
        <f t="shared" ca="1" si="31"/>
        <v>-0.02</v>
      </c>
      <c r="D504" s="103">
        <f t="shared" ca="1" si="32"/>
        <v>5839217</v>
      </c>
      <c r="E504" s="67">
        <f t="shared" ca="1" si="33"/>
        <v>0.04</v>
      </c>
      <c r="F504" s="21"/>
    </row>
    <row r="505" spans="1:6" x14ac:dyDescent="0.3">
      <c r="A505" s="34">
        <v>501</v>
      </c>
      <c r="B505" s="103">
        <f t="shared" ca="1" si="34"/>
        <v>60864</v>
      </c>
      <c r="C505" s="67">
        <f t="shared" ca="1" si="31"/>
        <v>0.01</v>
      </c>
      <c r="D505" s="103">
        <f t="shared" ca="1" si="32"/>
        <v>5571045</v>
      </c>
      <c r="E505" s="67">
        <f t="shared" ca="1" si="33"/>
        <v>-0.01</v>
      </c>
      <c r="F505" s="21"/>
    </row>
    <row r="506" spans="1:6" x14ac:dyDescent="0.3">
      <c r="A506" s="34">
        <v>502</v>
      </c>
      <c r="B506" s="103">
        <f t="shared" ca="1" si="34"/>
        <v>61412</v>
      </c>
      <c r="C506" s="67">
        <f t="shared" ca="1" si="31"/>
        <v>0.02</v>
      </c>
      <c r="D506" s="103">
        <f t="shared" ca="1" si="32"/>
        <v>5437270</v>
      </c>
      <c r="E506" s="67">
        <f t="shared" ca="1" si="33"/>
        <v>-0.03</v>
      </c>
      <c r="F506" s="21"/>
    </row>
    <row r="507" spans="1:6" x14ac:dyDescent="0.3">
      <c r="A507" s="34">
        <v>503</v>
      </c>
      <c r="B507" s="103">
        <f t="shared" ca="1" si="34"/>
        <v>59984</v>
      </c>
      <c r="C507" s="67">
        <f t="shared" ca="1" si="31"/>
        <v>-0.01</v>
      </c>
      <c r="D507" s="103">
        <f t="shared" ca="1" si="32"/>
        <v>5352788</v>
      </c>
      <c r="E507" s="67">
        <f t="shared" ca="1" si="33"/>
        <v>-0.05</v>
      </c>
      <c r="F507" s="21"/>
    </row>
    <row r="508" spans="1:6" x14ac:dyDescent="0.3">
      <c r="A508" s="34">
        <v>504</v>
      </c>
      <c r="B508" s="103">
        <f t="shared" ca="1" si="34"/>
        <v>60083</v>
      </c>
      <c r="C508" s="67">
        <f t="shared" ca="1" si="31"/>
        <v>0</v>
      </c>
      <c r="D508" s="103">
        <f t="shared" ca="1" si="32"/>
        <v>5806146</v>
      </c>
      <c r="E508" s="67">
        <f t="shared" ca="1" si="33"/>
        <v>0.03</v>
      </c>
      <c r="F508" s="21"/>
    </row>
    <row r="509" spans="1:6" x14ac:dyDescent="0.3">
      <c r="A509" s="34">
        <v>505</v>
      </c>
      <c r="B509" s="103">
        <f t="shared" ca="1" si="34"/>
        <v>60772</v>
      </c>
      <c r="C509" s="67">
        <f t="shared" ca="1" si="31"/>
        <v>0.01</v>
      </c>
      <c r="D509" s="103">
        <f t="shared" ca="1" si="32"/>
        <v>5374501</v>
      </c>
      <c r="E509" s="67">
        <f t="shared" ca="1" si="33"/>
        <v>-0.05</v>
      </c>
      <c r="F509" s="21"/>
    </row>
    <row r="510" spans="1:6" x14ac:dyDescent="0.3">
      <c r="A510" s="34">
        <v>506</v>
      </c>
      <c r="B510" s="103">
        <f t="shared" ca="1" si="34"/>
        <v>59093</v>
      </c>
      <c r="C510" s="67">
        <f t="shared" ca="1" si="31"/>
        <v>-0.02</v>
      </c>
      <c r="D510" s="103">
        <f t="shared" ca="1" si="32"/>
        <v>5746540</v>
      </c>
      <c r="E510" s="67">
        <f t="shared" ca="1" si="33"/>
        <v>0.02</v>
      </c>
      <c r="F510" s="21"/>
    </row>
    <row r="511" spans="1:6" x14ac:dyDescent="0.3">
      <c r="A511" s="34">
        <v>507</v>
      </c>
      <c r="B511" s="103">
        <f t="shared" ca="1" si="34"/>
        <v>61066</v>
      </c>
      <c r="C511" s="67">
        <f t="shared" ca="1" si="31"/>
        <v>0.01</v>
      </c>
      <c r="D511" s="103">
        <f t="shared" ca="1" si="32"/>
        <v>5343703</v>
      </c>
      <c r="E511" s="67">
        <f t="shared" ca="1" si="33"/>
        <v>-0.05</v>
      </c>
      <c r="F511" s="21"/>
    </row>
    <row r="512" spans="1:6" x14ac:dyDescent="0.3">
      <c r="A512" s="34">
        <v>508</v>
      </c>
      <c r="B512" s="103">
        <f t="shared" ca="1" si="34"/>
        <v>62132</v>
      </c>
      <c r="C512" s="67">
        <f t="shared" ca="1" si="31"/>
        <v>0.03</v>
      </c>
      <c r="D512" s="103">
        <f t="shared" ca="1" si="32"/>
        <v>5529322</v>
      </c>
      <c r="E512" s="67">
        <f t="shared" ca="1" si="33"/>
        <v>-0.02</v>
      </c>
      <c r="F512" s="21"/>
    </row>
    <row r="513" spans="1:6" x14ac:dyDescent="0.3">
      <c r="A513" s="34">
        <v>509</v>
      </c>
      <c r="B513" s="103">
        <f t="shared" ca="1" si="34"/>
        <v>62461</v>
      </c>
      <c r="C513" s="67">
        <f t="shared" ca="1" si="31"/>
        <v>0.04</v>
      </c>
      <c r="D513" s="103">
        <f t="shared" ca="1" si="32"/>
        <v>5665380</v>
      </c>
      <c r="E513" s="67">
        <f t="shared" ca="1" si="33"/>
        <v>0.01</v>
      </c>
      <c r="F513" s="21"/>
    </row>
    <row r="514" spans="1:6" x14ac:dyDescent="0.3">
      <c r="A514" s="34">
        <v>510</v>
      </c>
      <c r="B514" s="103">
        <f t="shared" ca="1" si="34"/>
        <v>61852</v>
      </c>
      <c r="C514" s="67">
        <f t="shared" ca="1" si="31"/>
        <v>0.03</v>
      </c>
      <c r="D514" s="103">
        <f t="shared" ca="1" si="32"/>
        <v>5401981</v>
      </c>
      <c r="E514" s="67">
        <f t="shared" ca="1" si="33"/>
        <v>-0.04</v>
      </c>
      <c r="F514" s="21"/>
    </row>
    <row r="515" spans="1:6" x14ac:dyDescent="0.3">
      <c r="A515" s="34">
        <v>511</v>
      </c>
      <c r="B515" s="103">
        <f t="shared" ca="1" si="34"/>
        <v>57776</v>
      </c>
      <c r="C515" s="67">
        <f t="shared" ca="1" si="31"/>
        <v>-0.04</v>
      </c>
      <c r="D515" s="103">
        <f t="shared" ca="1" si="32"/>
        <v>5739956</v>
      </c>
      <c r="E515" s="67">
        <f t="shared" ca="1" si="33"/>
        <v>0.02</v>
      </c>
      <c r="F515" s="21"/>
    </row>
    <row r="516" spans="1:6" x14ac:dyDescent="0.3">
      <c r="A516" s="34">
        <v>512</v>
      </c>
      <c r="B516" s="103">
        <f t="shared" ca="1" si="34"/>
        <v>59838</v>
      </c>
      <c r="C516" s="67">
        <f t="shared" ca="1" si="31"/>
        <v>-0.01</v>
      </c>
      <c r="D516" s="103">
        <f t="shared" ca="1" si="32"/>
        <v>5394985</v>
      </c>
      <c r="E516" s="67">
        <f t="shared" ca="1" si="33"/>
        <v>-0.04</v>
      </c>
      <c r="F516" s="21"/>
    </row>
    <row r="517" spans="1:6" x14ac:dyDescent="0.3">
      <c r="A517" s="34">
        <v>513</v>
      </c>
      <c r="B517" s="103">
        <f t="shared" ca="1" si="34"/>
        <v>57376</v>
      </c>
      <c r="C517" s="67">
        <f t="shared" ref="C517:C580" ca="1" si="35">_xlfn.XLOOKUP(B517,selling_price_range,Range,"",-1)</f>
        <v>-0.05</v>
      </c>
      <c r="D517" s="103">
        <f t="shared" ref="D517:D580" ca="1" si="36">RANDBETWEEN($P$5*(1+$G$5),$P$5*(1+$G$15))</f>
        <v>5471524</v>
      </c>
      <c r="E517" s="67">
        <f t="shared" ref="E517:E580" ca="1" si="37">_xlfn.XLOOKUP(D517,expenses_range,Range,"",-1)</f>
        <v>-0.03</v>
      </c>
      <c r="F517" s="21"/>
    </row>
    <row r="518" spans="1:6" x14ac:dyDescent="0.3">
      <c r="A518" s="34">
        <v>514</v>
      </c>
      <c r="B518" s="103">
        <f t="shared" ref="B518:B581" ca="1" si="38">RANDBETWEEN($P$4*(1+$G$5),$P$4*(1+$G$15))</f>
        <v>58492</v>
      </c>
      <c r="C518" s="67">
        <f t="shared" ca="1" si="35"/>
        <v>-0.03</v>
      </c>
      <c r="D518" s="103">
        <f t="shared" ca="1" si="36"/>
        <v>5384757</v>
      </c>
      <c r="E518" s="67">
        <f t="shared" ca="1" si="37"/>
        <v>-0.04</v>
      </c>
      <c r="F518" s="21"/>
    </row>
    <row r="519" spans="1:6" x14ac:dyDescent="0.3">
      <c r="A519" s="34">
        <v>515</v>
      </c>
      <c r="B519" s="103">
        <f t="shared" ca="1" si="38"/>
        <v>59387</v>
      </c>
      <c r="C519" s="67">
        <f t="shared" ca="1" si="35"/>
        <v>-0.02</v>
      </c>
      <c r="D519" s="103">
        <f t="shared" ca="1" si="36"/>
        <v>5514290</v>
      </c>
      <c r="E519" s="67">
        <f t="shared" ca="1" si="37"/>
        <v>-0.02</v>
      </c>
      <c r="F519" s="21"/>
    </row>
    <row r="520" spans="1:6" x14ac:dyDescent="0.3">
      <c r="A520" s="34">
        <v>516</v>
      </c>
      <c r="B520" s="103">
        <f t="shared" ca="1" si="38"/>
        <v>60009</v>
      </c>
      <c r="C520" s="67">
        <f t="shared" ca="1" si="35"/>
        <v>0</v>
      </c>
      <c r="D520" s="103">
        <f t="shared" ca="1" si="36"/>
        <v>5705884</v>
      </c>
      <c r="E520" s="67">
        <f t="shared" ca="1" si="37"/>
        <v>0.01</v>
      </c>
      <c r="F520" s="21"/>
    </row>
    <row r="521" spans="1:6" x14ac:dyDescent="0.3">
      <c r="A521" s="34">
        <v>517</v>
      </c>
      <c r="B521" s="103">
        <f t="shared" ca="1" si="38"/>
        <v>61834</v>
      </c>
      <c r="C521" s="67">
        <f t="shared" ca="1" si="35"/>
        <v>0.03</v>
      </c>
      <c r="D521" s="103">
        <f t="shared" ca="1" si="36"/>
        <v>5871876</v>
      </c>
      <c r="E521" s="67">
        <f t="shared" ca="1" si="37"/>
        <v>0.04</v>
      </c>
      <c r="F521" s="21"/>
    </row>
    <row r="522" spans="1:6" x14ac:dyDescent="0.3">
      <c r="A522" s="34">
        <v>518</v>
      </c>
      <c r="B522" s="103">
        <f t="shared" ca="1" si="38"/>
        <v>61050</v>
      </c>
      <c r="C522" s="67">
        <f t="shared" ca="1" si="35"/>
        <v>0.01</v>
      </c>
      <c r="D522" s="103">
        <f t="shared" ca="1" si="36"/>
        <v>5344563</v>
      </c>
      <c r="E522" s="67">
        <f t="shared" ca="1" si="37"/>
        <v>-0.05</v>
      </c>
      <c r="F522" s="21"/>
    </row>
    <row r="523" spans="1:6" x14ac:dyDescent="0.3">
      <c r="A523" s="34">
        <v>519</v>
      </c>
      <c r="B523" s="103">
        <f t="shared" ca="1" si="38"/>
        <v>60696</v>
      </c>
      <c r="C523" s="67">
        <f t="shared" ca="1" si="35"/>
        <v>0.01</v>
      </c>
      <c r="D523" s="103">
        <f t="shared" ca="1" si="36"/>
        <v>5776654</v>
      </c>
      <c r="E523" s="67">
        <f t="shared" ca="1" si="37"/>
        <v>0.03</v>
      </c>
      <c r="F523" s="21"/>
    </row>
    <row r="524" spans="1:6" x14ac:dyDescent="0.3">
      <c r="A524" s="34">
        <v>520</v>
      </c>
      <c r="B524" s="103">
        <f t="shared" ca="1" si="38"/>
        <v>58080</v>
      </c>
      <c r="C524" s="67">
        <f t="shared" ca="1" si="35"/>
        <v>-0.04</v>
      </c>
      <c r="D524" s="103">
        <f t="shared" ca="1" si="36"/>
        <v>5818061</v>
      </c>
      <c r="E524" s="67">
        <f t="shared" ca="1" si="37"/>
        <v>0.03</v>
      </c>
      <c r="F524" s="21"/>
    </row>
    <row r="525" spans="1:6" x14ac:dyDescent="0.3">
      <c r="A525" s="34">
        <v>521</v>
      </c>
      <c r="B525" s="103">
        <f t="shared" ca="1" si="38"/>
        <v>59481</v>
      </c>
      <c r="C525" s="67">
        <f t="shared" ca="1" si="35"/>
        <v>-0.01</v>
      </c>
      <c r="D525" s="103">
        <f t="shared" ca="1" si="36"/>
        <v>5561633</v>
      </c>
      <c r="E525" s="67">
        <f t="shared" ca="1" si="37"/>
        <v>-0.01</v>
      </c>
      <c r="F525" s="21"/>
    </row>
    <row r="526" spans="1:6" x14ac:dyDescent="0.3">
      <c r="A526" s="34">
        <v>522</v>
      </c>
      <c r="B526" s="103">
        <f t="shared" ca="1" si="38"/>
        <v>58812</v>
      </c>
      <c r="C526" s="67">
        <f t="shared" ca="1" si="35"/>
        <v>-0.02</v>
      </c>
      <c r="D526" s="103">
        <f t="shared" ca="1" si="36"/>
        <v>5443631</v>
      </c>
      <c r="E526" s="67">
        <f t="shared" ca="1" si="37"/>
        <v>-0.03</v>
      </c>
      <c r="F526" s="21"/>
    </row>
    <row r="527" spans="1:6" x14ac:dyDescent="0.3">
      <c r="A527" s="34">
        <v>523</v>
      </c>
      <c r="B527" s="103">
        <f t="shared" ca="1" si="38"/>
        <v>61778</v>
      </c>
      <c r="C527" s="67">
        <f t="shared" ca="1" si="35"/>
        <v>0.02</v>
      </c>
      <c r="D527" s="103">
        <f t="shared" ca="1" si="36"/>
        <v>5732983</v>
      </c>
      <c r="E527" s="67">
        <f t="shared" ca="1" si="37"/>
        <v>0.02</v>
      </c>
      <c r="F527" s="21"/>
    </row>
    <row r="528" spans="1:6" x14ac:dyDescent="0.3">
      <c r="A528" s="34">
        <v>524</v>
      </c>
      <c r="B528" s="103">
        <f t="shared" ca="1" si="38"/>
        <v>60373</v>
      </c>
      <c r="C528" s="67">
        <f t="shared" ca="1" si="35"/>
        <v>0</v>
      </c>
      <c r="D528" s="103">
        <f t="shared" ca="1" si="36"/>
        <v>5417716</v>
      </c>
      <c r="E528" s="67">
        <f t="shared" ca="1" si="37"/>
        <v>-0.04</v>
      </c>
      <c r="F528" s="21"/>
    </row>
    <row r="529" spans="1:6" x14ac:dyDescent="0.3">
      <c r="A529" s="34">
        <v>525</v>
      </c>
      <c r="B529" s="103">
        <f t="shared" ca="1" si="38"/>
        <v>58630</v>
      </c>
      <c r="C529" s="67">
        <f t="shared" ca="1" si="35"/>
        <v>-0.03</v>
      </c>
      <c r="D529" s="103">
        <f t="shared" ca="1" si="36"/>
        <v>5491053</v>
      </c>
      <c r="E529" s="67">
        <f t="shared" ca="1" si="37"/>
        <v>-0.03</v>
      </c>
      <c r="F529" s="21"/>
    </row>
    <row r="530" spans="1:6" x14ac:dyDescent="0.3">
      <c r="A530" s="34">
        <v>526</v>
      </c>
      <c r="B530" s="103">
        <f t="shared" ca="1" si="38"/>
        <v>62243</v>
      </c>
      <c r="C530" s="67">
        <f t="shared" ca="1" si="35"/>
        <v>0.03</v>
      </c>
      <c r="D530" s="103">
        <f t="shared" ca="1" si="36"/>
        <v>5768370</v>
      </c>
      <c r="E530" s="67">
        <f t="shared" ca="1" si="37"/>
        <v>0.02</v>
      </c>
      <c r="F530" s="21"/>
    </row>
    <row r="531" spans="1:6" x14ac:dyDescent="0.3">
      <c r="A531" s="34">
        <v>527</v>
      </c>
      <c r="B531" s="103">
        <f t="shared" ca="1" si="38"/>
        <v>62394</v>
      </c>
      <c r="C531" s="67">
        <f t="shared" ca="1" si="35"/>
        <v>0.03</v>
      </c>
      <c r="D531" s="103">
        <f t="shared" ca="1" si="36"/>
        <v>5366422</v>
      </c>
      <c r="E531" s="67">
        <f t="shared" ca="1" si="37"/>
        <v>-0.05</v>
      </c>
      <c r="F531" s="21"/>
    </row>
    <row r="532" spans="1:6" x14ac:dyDescent="0.3">
      <c r="A532" s="34">
        <v>528</v>
      </c>
      <c r="B532" s="103">
        <f t="shared" ca="1" si="38"/>
        <v>61562</v>
      </c>
      <c r="C532" s="67">
        <f t="shared" ca="1" si="35"/>
        <v>0.02</v>
      </c>
      <c r="D532" s="103">
        <f t="shared" ca="1" si="36"/>
        <v>5529252</v>
      </c>
      <c r="E532" s="67">
        <f t="shared" ca="1" si="37"/>
        <v>-0.02</v>
      </c>
      <c r="F532" s="21"/>
    </row>
    <row r="533" spans="1:6" x14ac:dyDescent="0.3">
      <c r="A533" s="34">
        <v>529</v>
      </c>
      <c r="B533" s="103">
        <f t="shared" ca="1" si="38"/>
        <v>62905</v>
      </c>
      <c r="C533" s="67">
        <f t="shared" ca="1" si="35"/>
        <v>0.04</v>
      </c>
      <c r="D533" s="103">
        <f t="shared" ca="1" si="36"/>
        <v>5454198</v>
      </c>
      <c r="E533" s="67">
        <f t="shared" ca="1" si="37"/>
        <v>-0.03</v>
      </c>
      <c r="F533" s="21"/>
    </row>
    <row r="534" spans="1:6" x14ac:dyDescent="0.3">
      <c r="A534" s="34">
        <v>530</v>
      </c>
      <c r="B534" s="103">
        <f t="shared" ca="1" si="38"/>
        <v>57018</v>
      </c>
      <c r="C534" s="67">
        <f t="shared" ca="1" si="35"/>
        <v>-0.05</v>
      </c>
      <c r="D534" s="103">
        <f t="shared" ca="1" si="36"/>
        <v>5781683</v>
      </c>
      <c r="E534" s="67">
        <f t="shared" ca="1" si="37"/>
        <v>0.03</v>
      </c>
      <c r="F534" s="21"/>
    </row>
    <row r="535" spans="1:6" x14ac:dyDescent="0.3">
      <c r="A535" s="34">
        <v>531</v>
      </c>
      <c r="B535" s="103">
        <f t="shared" ca="1" si="38"/>
        <v>62128</v>
      </c>
      <c r="C535" s="67">
        <f t="shared" ca="1" si="35"/>
        <v>0.03</v>
      </c>
      <c r="D535" s="103">
        <f t="shared" ca="1" si="36"/>
        <v>5603118</v>
      </c>
      <c r="E535" s="67">
        <f t="shared" ca="1" si="37"/>
        <v>-0.01</v>
      </c>
      <c r="F535" s="21"/>
    </row>
    <row r="536" spans="1:6" x14ac:dyDescent="0.3">
      <c r="A536" s="34">
        <v>532</v>
      </c>
      <c r="B536" s="103">
        <f t="shared" ca="1" si="38"/>
        <v>61761</v>
      </c>
      <c r="C536" s="67">
        <f t="shared" ca="1" si="35"/>
        <v>0.02</v>
      </c>
      <c r="D536" s="103">
        <f t="shared" ca="1" si="36"/>
        <v>5344096</v>
      </c>
      <c r="E536" s="67">
        <f t="shared" ca="1" si="37"/>
        <v>-0.05</v>
      </c>
      <c r="F536" s="21"/>
    </row>
    <row r="537" spans="1:6" x14ac:dyDescent="0.3">
      <c r="A537" s="34">
        <v>533</v>
      </c>
      <c r="B537" s="103">
        <f t="shared" ca="1" si="38"/>
        <v>57798</v>
      </c>
      <c r="C537" s="67">
        <f t="shared" ca="1" si="35"/>
        <v>-0.04</v>
      </c>
      <c r="D537" s="103">
        <f t="shared" ca="1" si="36"/>
        <v>5432555</v>
      </c>
      <c r="E537" s="67">
        <f t="shared" ca="1" si="37"/>
        <v>-0.04</v>
      </c>
      <c r="F537" s="21"/>
    </row>
    <row r="538" spans="1:6" x14ac:dyDescent="0.3">
      <c r="A538" s="34">
        <v>534</v>
      </c>
      <c r="B538" s="103">
        <f t="shared" ca="1" si="38"/>
        <v>62127</v>
      </c>
      <c r="C538" s="67">
        <f t="shared" ca="1" si="35"/>
        <v>0.03</v>
      </c>
      <c r="D538" s="103">
        <f t="shared" ca="1" si="36"/>
        <v>5644057</v>
      </c>
      <c r="E538" s="67">
        <f t="shared" ca="1" si="37"/>
        <v>0</v>
      </c>
      <c r="F538" s="21"/>
    </row>
    <row r="539" spans="1:6" x14ac:dyDescent="0.3">
      <c r="A539" s="34">
        <v>535</v>
      </c>
      <c r="B539" s="103">
        <f t="shared" ca="1" si="38"/>
        <v>58022</v>
      </c>
      <c r="C539" s="67">
        <f t="shared" ca="1" si="35"/>
        <v>-0.04</v>
      </c>
      <c r="D539" s="103">
        <f t="shared" ca="1" si="36"/>
        <v>5422869</v>
      </c>
      <c r="E539" s="67">
        <f t="shared" ca="1" si="37"/>
        <v>-0.04</v>
      </c>
      <c r="F539" s="21"/>
    </row>
    <row r="540" spans="1:6" x14ac:dyDescent="0.3">
      <c r="A540" s="34">
        <v>536</v>
      </c>
      <c r="B540" s="103">
        <f t="shared" ca="1" si="38"/>
        <v>57144</v>
      </c>
      <c r="C540" s="67">
        <f t="shared" ca="1" si="35"/>
        <v>-0.05</v>
      </c>
      <c r="D540" s="103">
        <f t="shared" ca="1" si="36"/>
        <v>5351991</v>
      </c>
      <c r="E540" s="67">
        <f t="shared" ca="1" si="37"/>
        <v>-0.05</v>
      </c>
      <c r="F540" s="21"/>
    </row>
    <row r="541" spans="1:6" x14ac:dyDescent="0.3">
      <c r="A541" s="34">
        <v>537</v>
      </c>
      <c r="B541" s="103">
        <f t="shared" ca="1" si="38"/>
        <v>61551</v>
      </c>
      <c r="C541" s="67">
        <f t="shared" ca="1" si="35"/>
        <v>0.02</v>
      </c>
      <c r="D541" s="103">
        <f t="shared" ca="1" si="36"/>
        <v>5741146</v>
      </c>
      <c r="E541" s="67">
        <f t="shared" ca="1" si="37"/>
        <v>0.02</v>
      </c>
      <c r="F541" s="21"/>
    </row>
    <row r="542" spans="1:6" x14ac:dyDescent="0.3">
      <c r="A542" s="34">
        <v>538</v>
      </c>
      <c r="B542" s="103">
        <f t="shared" ca="1" si="38"/>
        <v>57052</v>
      </c>
      <c r="C542" s="67">
        <f t="shared" ca="1" si="35"/>
        <v>-0.05</v>
      </c>
      <c r="D542" s="103">
        <f t="shared" ca="1" si="36"/>
        <v>5481637</v>
      </c>
      <c r="E542" s="67">
        <f t="shared" ca="1" si="37"/>
        <v>-0.03</v>
      </c>
      <c r="F542" s="21"/>
    </row>
    <row r="543" spans="1:6" x14ac:dyDescent="0.3">
      <c r="A543" s="34">
        <v>539</v>
      </c>
      <c r="B543" s="103">
        <f t="shared" ca="1" si="38"/>
        <v>59972</v>
      </c>
      <c r="C543" s="67">
        <f t="shared" ca="1" si="35"/>
        <v>-0.01</v>
      </c>
      <c r="D543" s="103">
        <f t="shared" ca="1" si="36"/>
        <v>5796291</v>
      </c>
      <c r="E543" s="67">
        <f t="shared" ca="1" si="37"/>
        <v>0.03</v>
      </c>
      <c r="F543" s="21"/>
    </row>
    <row r="544" spans="1:6" x14ac:dyDescent="0.3">
      <c r="A544" s="34">
        <v>540</v>
      </c>
      <c r="B544" s="103">
        <f t="shared" ca="1" si="38"/>
        <v>61662</v>
      </c>
      <c r="C544" s="67">
        <f t="shared" ca="1" si="35"/>
        <v>0.02</v>
      </c>
      <c r="D544" s="103">
        <f t="shared" ca="1" si="36"/>
        <v>5743459</v>
      </c>
      <c r="E544" s="67">
        <f t="shared" ca="1" si="37"/>
        <v>0.02</v>
      </c>
      <c r="F544" s="21"/>
    </row>
    <row r="545" spans="1:6" x14ac:dyDescent="0.3">
      <c r="A545" s="34">
        <v>541</v>
      </c>
      <c r="B545" s="103">
        <f t="shared" ca="1" si="38"/>
        <v>58986</v>
      </c>
      <c r="C545" s="67">
        <f t="shared" ca="1" si="35"/>
        <v>-0.02</v>
      </c>
      <c r="D545" s="103">
        <f t="shared" ca="1" si="36"/>
        <v>5849058</v>
      </c>
      <c r="E545" s="67">
        <f t="shared" ca="1" si="37"/>
        <v>0.04</v>
      </c>
      <c r="F545" s="21"/>
    </row>
    <row r="546" spans="1:6" x14ac:dyDescent="0.3">
      <c r="A546" s="34">
        <v>542</v>
      </c>
      <c r="B546" s="103">
        <f t="shared" ca="1" si="38"/>
        <v>62598</v>
      </c>
      <c r="C546" s="67">
        <f t="shared" ca="1" si="35"/>
        <v>0.04</v>
      </c>
      <c r="D546" s="103">
        <f t="shared" ca="1" si="36"/>
        <v>5486516</v>
      </c>
      <c r="E546" s="67">
        <f t="shared" ca="1" si="37"/>
        <v>-0.03</v>
      </c>
      <c r="F546" s="21"/>
    </row>
    <row r="547" spans="1:6" x14ac:dyDescent="0.3">
      <c r="A547" s="34">
        <v>543</v>
      </c>
      <c r="B547" s="103">
        <f t="shared" ca="1" si="38"/>
        <v>57282</v>
      </c>
      <c r="C547" s="67">
        <f t="shared" ca="1" si="35"/>
        <v>-0.05</v>
      </c>
      <c r="D547" s="103">
        <f t="shared" ca="1" si="36"/>
        <v>5719493</v>
      </c>
      <c r="E547" s="67">
        <f t="shared" ca="1" si="37"/>
        <v>0.02</v>
      </c>
      <c r="F547" s="21"/>
    </row>
    <row r="548" spans="1:6" x14ac:dyDescent="0.3">
      <c r="A548" s="34">
        <v>544</v>
      </c>
      <c r="B548" s="103">
        <f t="shared" ca="1" si="38"/>
        <v>60332</v>
      </c>
      <c r="C548" s="67">
        <f t="shared" ca="1" si="35"/>
        <v>0</v>
      </c>
      <c r="D548" s="103">
        <f t="shared" ca="1" si="36"/>
        <v>5767986</v>
      </c>
      <c r="E548" s="67">
        <f t="shared" ca="1" si="37"/>
        <v>0.02</v>
      </c>
      <c r="F548" s="21"/>
    </row>
    <row r="549" spans="1:6" x14ac:dyDescent="0.3">
      <c r="A549" s="34">
        <v>545</v>
      </c>
      <c r="B549" s="103">
        <f t="shared" ca="1" si="38"/>
        <v>57296</v>
      </c>
      <c r="C549" s="67">
        <f t="shared" ca="1" si="35"/>
        <v>-0.05</v>
      </c>
      <c r="D549" s="103">
        <f t="shared" ca="1" si="36"/>
        <v>5823221</v>
      </c>
      <c r="E549" s="67">
        <f t="shared" ca="1" si="37"/>
        <v>0.03</v>
      </c>
      <c r="F549" s="21"/>
    </row>
    <row r="550" spans="1:6" x14ac:dyDescent="0.3">
      <c r="A550" s="34">
        <v>546</v>
      </c>
      <c r="B550" s="103">
        <f t="shared" ca="1" si="38"/>
        <v>58846</v>
      </c>
      <c r="C550" s="67">
        <f t="shared" ca="1" si="35"/>
        <v>-0.02</v>
      </c>
      <c r="D550" s="103">
        <f t="shared" ca="1" si="36"/>
        <v>5330411</v>
      </c>
      <c r="E550" s="67">
        <f t="shared" ca="1" si="37"/>
        <v>-0.05</v>
      </c>
      <c r="F550" s="21"/>
    </row>
    <row r="551" spans="1:6" x14ac:dyDescent="0.3">
      <c r="A551" s="34">
        <v>547</v>
      </c>
      <c r="B551" s="103">
        <f t="shared" ca="1" si="38"/>
        <v>62326</v>
      </c>
      <c r="C551" s="67">
        <f t="shared" ca="1" si="35"/>
        <v>0.03</v>
      </c>
      <c r="D551" s="103">
        <f t="shared" ca="1" si="36"/>
        <v>5620434</v>
      </c>
      <c r="E551" s="67">
        <f t="shared" ca="1" si="37"/>
        <v>0</v>
      </c>
      <c r="F551" s="21"/>
    </row>
    <row r="552" spans="1:6" x14ac:dyDescent="0.3">
      <c r="A552" s="34">
        <v>548</v>
      </c>
      <c r="B552" s="103">
        <f t="shared" ca="1" si="38"/>
        <v>58079</v>
      </c>
      <c r="C552" s="67">
        <f t="shared" ca="1" si="35"/>
        <v>-0.04</v>
      </c>
      <c r="D552" s="103">
        <f t="shared" ca="1" si="36"/>
        <v>5456810</v>
      </c>
      <c r="E552" s="67">
        <f t="shared" ca="1" si="37"/>
        <v>-0.03</v>
      </c>
      <c r="F552" s="21"/>
    </row>
    <row r="553" spans="1:6" x14ac:dyDescent="0.3">
      <c r="A553" s="34">
        <v>549</v>
      </c>
      <c r="B553" s="103">
        <f t="shared" ca="1" si="38"/>
        <v>61945</v>
      </c>
      <c r="C553" s="67">
        <f t="shared" ca="1" si="35"/>
        <v>0.03</v>
      </c>
      <c r="D553" s="103">
        <f t="shared" ca="1" si="36"/>
        <v>5862406</v>
      </c>
      <c r="E553" s="67">
        <f t="shared" ca="1" si="37"/>
        <v>0.04</v>
      </c>
      <c r="F553" s="21"/>
    </row>
    <row r="554" spans="1:6" x14ac:dyDescent="0.3">
      <c r="A554" s="34">
        <v>550</v>
      </c>
      <c r="B554" s="103">
        <f t="shared" ca="1" si="38"/>
        <v>62023</v>
      </c>
      <c r="C554" s="67">
        <f t="shared" ca="1" si="35"/>
        <v>0.03</v>
      </c>
      <c r="D554" s="103">
        <f t="shared" ca="1" si="36"/>
        <v>5387651</v>
      </c>
      <c r="E554" s="67">
        <f t="shared" ca="1" si="37"/>
        <v>-0.04</v>
      </c>
      <c r="F554" s="21"/>
    </row>
    <row r="555" spans="1:6" x14ac:dyDescent="0.3">
      <c r="A555" s="34">
        <v>551</v>
      </c>
      <c r="B555" s="103">
        <f t="shared" ca="1" si="38"/>
        <v>59354</v>
      </c>
      <c r="C555" s="67">
        <f t="shared" ca="1" si="35"/>
        <v>-0.02</v>
      </c>
      <c r="D555" s="103">
        <f t="shared" ca="1" si="36"/>
        <v>5686002</v>
      </c>
      <c r="E555" s="67">
        <f t="shared" ca="1" si="37"/>
        <v>0.01</v>
      </c>
      <c r="F555" s="21"/>
    </row>
    <row r="556" spans="1:6" x14ac:dyDescent="0.3">
      <c r="A556" s="34">
        <v>552</v>
      </c>
      <c r="B556" s="103">
        <f t="shared" ca="1" si="38"/>
        <v>60301</v>
      </c>
      <c r="C556" s="67">
        <f t="shared" ca="1" si="35"/>
        <v>0</v>
      </c>
      <c r="D556" s="103">
        <f t="shared" ca="1" si="36"/>
        <v>5701341</v>
      </c>
      <c r="E556" s="67">
        <f t="shared" ca="1" si="37"/>
        <v>0.01</v>
      </c>
      <c r="F556" s="21"/>
    </row>
    <row r="557" spans="1:6" x14ac:dyDescent="0.3">
      <c r="A557" s="34">
        <v>553</v>
      </c>
      <c r="B557" s="103">
        <f t="shared" ca="1" si="38"/>
        <v>59577</v>
      </c>
      <c r="C557" s="67">
        <f t="shared" ca="1" si="35"/>
        <v>-0.01</v>
      </c>
      <c r="D557" s="103">
        <f t="shared" ca="1" si="36"/>
        <v>5352211</v>
      </c>
      <c r="E557" s="67">
        <f t="shared" ca="1" si="37"/>
        <v>-0.05</v>
      </c>
      <c r="F557" s="21"/>
    </row>
    <row r="558" spans="1:6" x14ac:dyDescent="0.3">
      <c r="A558" s="34">
        <v>554</v>
      </c>
      <c r="B558" s="103">
        <f t="shared" ca="1" si="38"/>
        <v>58935</v>
      </c>
      <c r="C558" s="67">
        <f t="shared" ca="1" si="35"/>
        <v>-0.02</v>
      </c>
      <c r="D558" s="103">
        <f t="shared" ca="1" si="36"/>
        <v>5472907</v>
      </c>
      <c r="E558" s="67">
        <f t="shared" ca="1" si="37"/>
        <v>-0.03</v>
      </c>
      <c r="F558" s="21"/>
    </row>
    <row r="559" spans="1:6" x14ac:dyDescent="0.3">
      <c r="A559" s="34">
        <v>555</v>
      </c>
      <c r="B559" s="103">
        <f t="shared" ca="1" si="38"/>
        <v>57599</v>
      </c>
      <c r="C559" s="67">
        <f t="shared" ca="1" si="35"/>
        <v>-0.05</v>
      </c>
      <c r="D559" s="103">
        <f t="shared" ca="1" si="36"/>
        <v>5568167</v>
      </c>
      <c r="E559" s="67">
        <f t="shared" ca="1" si="37"/>
        <v>-0.01</v>
      </c>
      <c r="F559" s="21"/>
    </row>
    <row r="560" spans="1:6" x14ac:dyDescent="0.3">
      <c r="A560" s="34">
        <v>556</v>
      </c>
      <c r="B560" s="103">
        <f t="shared" ca="1" si="38"/>
        <v>61598</v>
      </c>
      <c r="C560" s="67">
        <f t="shared" ca="1" si="35"/>
        <v>0.02</v>
      </c>
      <c r="D560" s="103">
        <f t="shared" ca="1" si="36"/>
        <v>5839199</v>
      </c>
      <c r="E560" s="67">
        <f t="shared" ca="1" si="37"/>
        <v>0.04</v>
      </c>
      <c r="F560" s="21"/>
    </row>
    <row r="561" spans="1:6" x14ac:dyDescent="0.3">
      <c r="A561" s="34">
        <v>557</v>
      </c>
      <c r="B561" s="103">
        <f t="shared" ca="1" si="38"/>
        <v>60128</v>
      </c>
      <c r="C561" s="67">
        <f t="shared" ca="1" si="35"/>
        <v>0</v>
      </c>
      <c r="D561" s="103">
        <f t="shared" ca="1" si="36"/>
        <v>5769263</v>
      </c>
      <c r="E561" s="67">
        <f t="shared" ca="1" si="37"/>
        <v>0.02</v>
      </c>
      <c r="F561" s="21"/>
    </row>
    <row r="562" spans="1:6" x14ac:dyDescent="0.3">
      <c r="A562" s="34">
        <v>558</v>
      </c>
      <c r="B562" s="103">
        <f t="shared" ca="1" si="38"/>
        <v>57866</v>
      </c>
      <c r="C562" s="67">
        <f t="shared" ca="1" si="35"/>
        <v>-0.04</v>
      </c>
      <c r="D562" s="103">
        <f t="shared" ca="1" si="36"/>
        <v>5536024</v>
      </c>
      <c r="E562" s="67">
        <f t="shared" ca="1" si="37"/>
        <v>-0.02</v>
      </c>
      <c r="F562" s="21"/>
    </row>
    <row r="563" spans="1:6" x14ac:dyDescent="0.3">
      <c r="A563" s="34">
        <v>559</v>
      </c>
      <c r="B563" s="103">
        <f t="shared" ca="1" si="38"/>
        <v>60289</v>
      </c>
      <c r="C563" s="67">
        <f t="shared" ca="1" si="35"/>
        <v>0</v>
      </c>
      <c r="D563" s="103">
        <f t="shared" ca="1" si="36"/>
        <v>5755549</v>
      </c>
      <c r="E563" s="67">
        <f t="shared" ca="1" si="37"/>
        <v>0.02</v>
      </c>
      <c r="F563" s="21"/>
    </row>
    <row r="564" spans="1:6" x14ac:dyDescent="0.3">
      <c r="A564" s="34">
        <v>560</v>
      </c>
      <c r="B564" s="103">
        <f t="shared" ca="1" si="38"/>
        <v>57111</v>
      </c>
      <c r="C564" s="67">
        <f t="shared" ca="1" si="35"/>
        <v>-0.05</v>
      </c>
      <c r="D564" s="103">
        <f t="shared" ca="1" si="36"/>
        <v>5772029</v>
      </c>
      <c r="E564" s="67">
        <f t="shared" ca="1" si="37"/>
        <v>0.02</v>
      </c>
      <c r="F564" s="21"/>
    </row>
    <row r="565" spans="1:6" x14ac:dyDescent="0.3">
      <c r="A565" s="34">
        <v>561</v>
      </c>
      <c r="B565" s="103">
        <f t="shared" ca="1" si="38"/>
        <v>58343</v>
      </c>
      <c r="C565" s="67">
        <f t="shared" ca="1" si="35"/>
        <v>-0.03</v>
      </c>
      <c r="D565" s="103">
        <f t="shared" ca="1" si="36"/>
        <v>5426438</v>
      </c>
      <c r="E565" s="67">
        <f t="shared" ca="1" si="37"/>
        <v>-0.04</v>
      </c>
      <c r="F565" s="21"/>
    </row>
    <row r="566" spans="1:6" x14ac:dyDescent="0.3">
      <c r="A566" s="34">
        <v>562</v>
      </c>
      <c r="B566" s="103">
        <f t="shared" ca="1" si="38"/>
        <v>59971</v>
      </c>
      <c r="C566" s="67">
        <f t="shared" ca="1" si="35"/>
        <v>-0.01</v>
      </c>
      <c r="D566" s="103">
        <f t="shared" ca="1" si="36"/>
        <v>5634839</v>
      </c>
      <c r="E566" s="67">
        <f t="shared" ca="1" si="37"/>
        <v>0</v>
      </c>
      <c r="F566" s="21"/>
    </row>
    <row r="567" spans="1:6" x14ac:dyDescent="0.3">
      <c r="A567" s="34">
        <v>563</v>
      </c>
      <c r="B567" s="103">
        <f t="shared" ca="1" si="38"/>
        <v>60261</v>
      </c>
      <c r="C567" s="67">
        <f t="shared" ca="1" si="35"/>
        <v>0</v>
      </c>
      <c r="D567" s="103">
        <f t="shared" ca="1" si="36"/>
        <v>5336966</v>
      </c>
      <c r="E567" s="67">
        <f t="shared" ca="1" si="37"/>
        <v>-0.05</v>
      </c>
      <c r="F567" s="21"/>
    </row>
    <row r="568" spans="1:6" x14ac:dyDescent="0.3">
      <c r="A568" s="34">
        <v>564</v>
      </c>
      <c r="B568" s="103">
        <f t="shared" ca="1" si="38"/>
        <v>61721</v>
      </c>
      <c r="C568" s="67">
        <f t="shared" ca="1" si="35"/>
        <v>0.02</v>
      </c>
      <c r="D568" s="103">
        <f t="shared" ca="1" si="36"/>
        <v>5439889</v>
      </c>
      <c r="E568" s="67">
        <f t="shared" ca="1" si="37"/>
        <v>-0.03</v>
      </c>
      <c r="F568" s="21"/>
    </row>
    <row r="569" spans="1:6" x14ac:dyDescent="0.3">
      <c r="A569" s="34">
        <v>565</v>
      </c>
      <c r="B569" s="103">
        <f t="shared" ca="1" si="38"/>
        <v>61270</v>
      </c>
      <c r="C569" s="67">
        <f t="shared" ca="1" si="35"/>
        <v>0.02</v>
      </c>
      <c r="D569" s="103">
        <f t="shared" ca="1" si="36"/>
        <v>5329305</v>
      </c>
      <c r="E569" s="67">
        <f t="shared" ca="1" si="37"/>
        <v>-0.05</v>
      </c>
      <c r="F569" s="21"/>
    </row>
    <row r="570" spans="1:6" x14ac:dyDescent="0.3">
      <c r="A570" s="34">
        <v>566</v>
      </c>
      <c r="B570" s="103">
        <f t="shared" ca="1" si="38"/>
        <v>58540</v>
      </c>
      <c r="C570" s="67">
        <f t="shared" ca="1" si="35"/>
        <v>-0.03</v>
      </c>
      <c r="D570" s="103">
        <f t="shared" ca="1" si="36"/>
        <v>5415867</v>
      </c>
      <c r="E570" s="67">
        <f t="shared" ca="1" si="37"/>
        <v>-0.04</v>
      </c>
      <c r="F570" s="21"/>
    </row>
    <row r="571" spans="1:6" x14ac:dyDescent="0.3">
      <c r="A571" s="34">
        <v>567</v>
      </c>
      <c r="B571" s="103">
        <f t="shared" ca="1" si="38"/>
        <v>58612</v>
      </c>
      <c r="C571" s="67">
        <f t="shared" ca="1" si="35"/>
        <v>-0.03</v>
      </c>
      <c r="D571" s="103">
        <f t="shared" ca="1" si="36"/>
        <v>5573211</v>
      </c>
      <c r="E571" s="67">
        <f t="shared" ca="1" si="37"/>
        <v>-0.01</v>
      </c>
      <c r="F571" s="21"/>
    </row>
    <row r="572" spans="1:6" x14ac:dyDescent="0.3">
      <c r="A572" s="34">
        <v>568</v>
      </c>
      <c r="B572" s="103">
        <f t="shared" ca="1" si="38"/>
        <v>62165</v>
      </c>
      <c r="C572" s="67">
        <f t="shared" ca="1" si="35"/>
        <v>0.03</v>
      </c>
      <c r="D572" s="103">
        <f t="shared" ca="1" si="36"/>
        <v>5668774</v>
      </c>
      <c r="E572" s="67">
        <f t="shared" ca="1" si="37"/>
        <v>0.01</v>
      </c>
      <c r="F572" s="21"/>
    </row>
    <row r="573" spans="1:6" x14ac:dyDescent="0.3">
      <c r="A573" s="34">
        <v>569</v>
      </c>
      <c r="B573" s="103">
        <f t="shared" ca="1" si="38"/>
        <v>59905</v>
      </c>
      <c r="C573" s="67">
        <f t="shared" ca="1" si="35"/>
        <v>-0.01</v>
      </c>
      <c r="D573" s="103">
        <f t="shared" ca="1" si="36"/>
        <v>5552062</v>
      </c>
      <c r="E573" s="67">
        <f t="shared" ca="1" si="37"/>
        <v>-0.01</v>
      </c>
      <c r="F573" s="21"/>
    </row>
    <row r="574" spans="1:6" x14ac:dyDescent="0.3">
      <c r="A574" s="34">
        <v>570</v>
      </c>
      <c r="B574" s="103">
        <f t="shared" ca="1" si="38"/>
        <v>61469</v>
      </c>
      <c r="C574" s="67">
        <f t="shared" ca="1" si="35"/>
        <v>0.02</v>
      </c>
      <c r="D574" s="103">
        <f t="shared" ca="1" si="36"/>
        <v>5636681</v>
      </c>
      <c r="E574" s="67">
        <f t="shared" ca="1" si="37"/>
        <v>0</v>
      </c>
      <c r="F574" s="21"/>
    </row>
    <row r="575" spans="1:6" x14ac:dyDescent="0.3">
      <c r="A575" s="34">
        <v>571</v>
      </c>
      <c r="B575" s="103">
        <f t="shared" ca="1" si="38"/>
        <v>62124</v>
      </c>
      <c r="C575" s="67">
        <f t="shared" ca="1" si="35"/>
        <v>0.03</v>
      </c>
      <c r="D575" s="103">
        <f t="shared" ca="1" si="36"/>
        <v>5461276</v>
      </c>
      <c r="E575" s="67">
        <f t="shared" ca="1" si="37"/>
        <v>-0.03</v>
      </c>
      <c r="F575" s="21"/>
    </row>
    <row r="576" spans="1:6" x14ac:dyDescent="0.3">
      <c r="A576" s="34">
        <v>572</v>
      </c>
      <c r="B576" s="103">
        <f t="shared" ca="1" si="38"/>
        <v>57531</v>
      </c>
      <c r="C576" s="67">
        <f t="shared" ca="1" si="35"/>
        <v>-0.05</v>
      </c>
      <c r="D576" s="103">
        <f t="shared" ca="1" si="36"/>
        <v>5350016</v>
      </c>
      <c r="E576" s="67">
        <f t="shared" ca="1" si="37"/>
        <v>-0.05</v>
      </c>
      <c r="F576" s="21"/>
    </row>
    <row r="577" spans="1:6" x14ac:dyDescent="0.3">
      <c r="A577" s="34">
        <v>573</v>
      </c>
      <c r="B577" s="103">
        <f t="shared" ca="1" si="38"/>
        <v>57242</v>
      </c>
      <c r="C577" s="67">
        <f t="shared" ca="1" si="35"/>
        <v>-0.05</v>
      </c>
      <c r="D577" s="103">
        <f t="shared" ca="1" si="36"/>
        <v>5333749</v>
      </c>
      <c r="E577" s="67">
        <f t="shared" ca="1" si="37"/>
        <v>-0.05</v>
      </c>
      <c r="F577" s="21"/>
    </row>
    <row r="578" spans="1:6" x14ac:dyDescent="0.3">
      <c r="A578" s="34">
        <v>574</v>
      </c>
      <c r="B578" s="103">
        <f t="shared" ca="1" si="38"/>
        <v>60606</v>
      </c>
      <c r="C578" s="67">
        <f t="shared" ca="1" si="35"/>
        <v>0.01</v>
      </c>
      <c r="D578" s="103">
        <f t="shared" ca="1" si="36"/>
        <v>5701123</v>
      </c>
      <c r="E578" s="67">
        <f t="shared" ca="1" si="37"/>
        <v>0.01</v>
      </c>
      <c r="F578" s="21"/>
    </row>
    <row r="579" spans="1:6" x14ac:dyDescent="0.3">
      <c r="A579" s="34">
        <v>575</v>
      </c>
      <c r="B579" s="103">
        <f t="shared" ca="1" si="38"/>
        <v>58421</v>
      </c>
      <c r="C579" s="67">
        <f t="shared" ca="1" si="35"/>
        <v>-0.03</v>
      </c>
      <c r="D579" s="103">
        <f t="shared" ca="1" si="36"/>
        <v>5480927</v>
      </c>
      <c r="E579" s="67">
        <f t="shared" ca="1" si="37"/>
        <v>-0.03</v>
      </c>
      <c r="F579" s="21"/>
    </row>
    <row r="580" spans="1:6" x14ac:dyDescent="0.3">
      <c r="A580" s="34">
        <v>576</v>
      </c>
      <c r="B580" s="103">
        <f t="shared" ca="1" si="38"/>
        <v>59487</v>
      </c>
      <c r="C580" s="67">
        <f t="shared" ca="1" si="35"/>
        <v>-0.01</v>
      </c>
      <c r="D580" s="103">
        <f t="shared" ca="1" si="36"/>
        <v>5416129</v>
      </c>
      <c r="E580" s="67">
        <f t="shared" ca="1" si="37"/>
        <v>-0.04</v>
      </c>
      <c r="F580" s="21"/>
    </row>
    <row r="581" spans="1:6" x14ac:dyDescent="0.3">
      <c r="A581" s="34">
        <v>577</v>
      </c>
      <c r="B581" s="103">
        <f t="shared" ca="1" si="38"/>
        <v>60737</v>
      </c>
      <c r="C581" s="67">
        <f t="shared" ref="C581:C644" ca="1" si="39">_xlfn.XLOOKUP(B581,selling_price_range,Range,"",-1)</f>
        <v>0.01</v>
      </c>
      <c r="D581" s="103">
        <f t="shared" ref="D581:D644" ca="1" si="40">RANDBETWEEN($P$5*(1+$G$5),$P$5*(1+$G$15))</f>
        <v>5735162</v>
      </c>
      <c r="E581" s="67">
        <f t="shared" ref="E581:E644" ca="1" si="41">_xlfn.XLOOKUP(D581,expenses_range,Range,"",-1)</f>
        <v>0.02</v>
      </c>
      <c r="F581" s="21"/>
    </row>
    <row r="582" spans="1:6" x14ac:dyDescent="0.3">
      <c r="A582" s="34">
        <v>578</v>
      </c>
      <c r="B582" s="103">
        <f t="shared" ref="B582:B645" ca="1" si="42">RANDBETWEEN($P$4*(1+$G$5),$P$4*(1+$G$15))</f>
        <v>61341</v>
      </c>
      <c r="C582" s="67">
        <f t="shared" ca="1" si="39"/>
        <v>0.02</v>
      </c>
      <c r="D582" s="103">
        <f t="shared" ca="1" si="40"/>
        <v>5418846</v>
      </c>
      <c r="E582" s="67">
        <f t="shared" ca="1" si="41"/>
        <v>-0.04</v>
      </c>
      <c r="F582" s="21"/>
    </row>
    <row r="583" spans="1:6" x14ac:dyDescent="0.3">
      <c r="A583" s="34">
        <v>579</v>
      </c>
      <c r="B583" s="103">
        <f t="shared" ca="1" si="42"/>
        <v>59353</v>
      </c>
      <c r="C583" s="67">
        <f t="shared" ca="1" si="39"/>
        <v>-0.02</v>
      </c>
      <c r="D583" s="103">
        <f t="shared" ca="1" si="40"/>
        <v>5577296</v>
      </c>
      <c r="E583" s="67">
        <f t="shared" ca="1" si="41"/>
        <v>-0.01</v>
      </c>
      <c r="F583" s="21"/>
    </row>
    <row r="584" spans="1:6" x14ac:dyDescent="0.3">
      <c r="A584" s="34">
        <v>580</v>
      </c>
      <c r="B584" s="103">
        <f t="shared" ca="1" si="42"/>
        <v>58060</v>
      </c>
      <c r="C584" s="67">
        <f t="shared" ca="1" si="39"/>
        <v>-0.04</v>
      </c>
      <c r="D584" s="103">
        <f t="shared" ca="1" si="40"/>
        <v>5834320</v>
      </c>
      <c r="E584" s="67">
        <f t="shared" ca="1" si="41"/>
        <v>0.04</v>
      </c>
      <c r="F584" s="21"/>
    </row>
    <row r="585" spans="1:6" x14ac:dyDescent="0.3">
      <c r="A585" s="34">
        <v>581</v>
      </c>
      <c r="B585" s="103">
        <f t="shared" ca="1" si="42"/>
        <v>61973</v>
      </c>
      <c r="C585" s="67">
        <f t="shared" ca="1" si="39"/>
        <v>0.03</v>
      </c>
      <c r="D585" s="103">
        <f t="shared" ca="1" si="40"/>
        <v>5875784</v>
      </c>
      <c r="E585" s="67">
        <f t="shared" ca="1" si="41"/>
        <v>0.04</v>
      </c>
      <c r="F585" s="21"/>
    </row>
    <row r="586" spans="1:6" x14ac:dyDescent="0.3">
      <c r="A586" s="34">
        <v>582</v>
      </c>
      <c r="B586" s="103">
        <f t="shared" ca="1" si="42"/>
        <v>57529</v>
      </c>
      <c r="C586" s="67">
        <f t="shared" ca="1" si="39"/>
        <v>-0.05</v>
      </c>
      <c r="D586" s="103">
        <f t="shared" ca="1" si="40"/>
        <v>5722128</v>
      </c>
      <c r="E586" s="67">
        <f t="shared" ca="1" si="41"/>
        <v>0.02</v>
      </c>
      <c r="F586" s="21"/>
    </row>
    <row r="587" spans="1:6" x14ac:dyDescent="0.3">
      <c r="A587" s="34">
        <v>583</v>
      </c>
      <c r="B587" s="103">
        <f t="shared" ca="1" si="42"/>
        <v>62845</v>
      </c>
      <c r="C587" s="67">
        <f t="shared" ca="1" si="39"/>
        <v>0.04</v>
      </c>
      <c r="D587" s="103">
        <f t="shared" ca="1" si="40"/>
        <v>5874763</v>
      </c>
      <c r="E587" s="67">
        <f t="shared" ca="1" si="41"/>
        <v>0.04</v>
      </c>
      <c r="F587" s="21"/>
    </row>
    <row r="588" spans="1:6" x14ac:dyDescent="0.3">
      <c r="A588" s="34">
        <v>584</v>
      </c>
      <c r="B588" s="103">
        <f t="shared" ca="1" si="42"/>
        <v>62784</v>
      </c>
      <c r="C588" s="67">
        <f t="shared" ca="1" si="39"/>
        <v>0.04</v>
      </c>
      <c r="D588" s="103">
        <f t="shared" ca="1" si="40"/>
        <v>5842934</v>
      </c>
      <c r="E588" s="67">
        <f t="shared" ca="1" si="41"/>
        <v>0.04</v>
      </c>
      <c r="F588" s="21"/>
    </row>
    <row r="589" spans="1:6" x14ac:dyDescent="0.3">
      <c r="A589" s="34">
        <v>585</v>
      </c>
      <c r="B589" s="103">
        <f t="shared" ca="1" si="42"/>
        <v>57862</v>
      </c>
      <c r="C589" s="67">
        <f t="shared" ca="1" si="39"/>
        <v>-0.04</v>
      </c>
      <c r="D589" s="103">
        <f t="shared" ca="1" si="40"/>
        <v>5808986</v>
      </c>
      <c r="E589" s="67">
        <f t="shared" ca="1" si="41"/>
        <v>0.03</v>
      </c>
      <c r="F589" s="21"/>
    </row>
    <row r="590" spans="1:6" x14ac:dyDescent="0.3">
      <c r="A590" s="34">
        <v>586</v>
      </c>
      <c r="B590" s="103">
        <f t="shared" ca="1" si="42"/>
        <v>62731</v>
      </c>
      <c r="C590" s="67">
        <f t="shared" ca="1" si="39"/>
        <v>0.04</v>
      </c>
      <c r="D590" s="103">
        <f t="shared" ca="1" si="40"/>
        <v>5616125</v>
      </c>
      <c r="E590" s="67">
        <f t="shared" ca="1" si="41"/>
        <v>0</v>
      </c>
      <c r="F590" s="21"/>
    </row>
    <row r="591" spans="1:6" x14ac:dyDescent="0.3">
      <c r="A591" s="34">
        <v>587</v>
      </c>
      <c r="B591" s="103">
        <f t="shared" ca="1" si="42"/>
        <v>61976</v>
      </c>
      <c r="C591" s="67">
        <f t="shared" ca="1" si="39"/>
        <v>0.03</v>
      </c>
      <c r="D591" s="103">
        <f t="shared" ca="1" si="40"/>
        <v>5497290</v>
      </c>
      <c r="E591" s="67">
        <f t="shared" ca="1" si="41"/>
        <v>-0.02</v>
      </c>
      <c r="F591" s="21"/>
    </row>
    <row r="592" spans="1:6" x14ac:dyDescent="0.3">
      <c r="A592" s="34">
        <v>588</v>
      </c>
      <c r="B592" s="103">
        <f t="shared" ca="1" si="42"/>
        <v>59992</v>
      </c>
      <c r="C592" s="67">
        <f t="shared" ca="1" si="39"/>
        <v>-0.01</v>
      </c>
      <c r="D592" s="103">
        <f t="shared" ca="1" si="40"/>
        <v>5353857</v>
      </c>
      <c r="E592" s="67">
        <f t="shared" ca="1" si="41"/>
        <v>-0.05</v>
      </c>
      <c r="F592" s="21"/>
    </row>
    <row r="593" spans="1:6" x14ac:dyDescent="0.3">
      <c r="A593" s="34">
        <v>589</v>
      </c>
      <c r="B593" s="103">
        <f t="shared" ca="1" si="42"/>
        <v>58917</v>
      </c>
      <c r="C593" s="67">
        <f t="shared" ca="1" si="39"/>
        <v>-0.02</v>
      </c>
      <c r="D593" s="103">
        <f t="shared" ca="1" si="40"/>
        <v>5523700</v>
      </c>
      <c r="E593" s="67">
        <f t="shared" ca="1" si="41"/>
        <v>-0.02</v>
      </c>
      <c r="F593" s="21"/>
    </row>
    <row r="594" spans="1:6" x14ac:dyDescent="0.3">
      <c r="A594" s="34">
        <v>590</v>
      </c>
      <c r="B594" s="103">
        <f t="shared" ca="1" si="42"/>
        <v>61646</v>
      </c>
      <c r="C594" s="67">
        <f t="shared" ca="1" si="39"/>
        <v>0.02</v>
      </c>
      <c r="D594" s="103">
        <f t="shared" ca="1" si="40"/>
        <v>5382287</v>
      </c>
      <c r="E594" s="67">
        <f t="shared" ca="1" si="41"/>
        <v>-0.04</v>
      </c>
      <c r="F594" s="21"/>
    </row>
    <row r="595" spans="1:6" x14ac:dyDescent="0.3">
      <c r="A595" s="34">
        <v>591</v>
      </c>
      <c r="B595" s="103">
        <f t="shared" ca="1" si="42"/>
        <v>59143</v>
      </c>
      <c r="C595" s="67">
        <f t="shared" ca="1" si="39"/>
        <v>-0.02</v>
      </c>
      <c r="D595" s="103">
        <f t="shared" ca="1" si="40"/>
        <v>5425766</v>
      </c>
      <c r="E595" s="67">
        <f t="shared" ca="1" si="41"/>
        <v>-0.04</v>
      </c>
      <c r="F595" s="21"/>
    </row>
    <row r="596" spans="1:6" x14ac:dyDescent="0.3">
      <c r="A596" s="34">
        <v>592</v>
      </c>
      <c r="B596" s="103">
        <f t="shared" ca="1" si="42"/>
        <v>59299</v>
      </c>
      <c r="C596" s="67">
        <f t="shared" ca="1" si="39"/>
        <v>-0.02</v>
      </c>
      <c r="D596" s="103">
        <f t="shared" ca="1" si="40"/>
        <v>5387130</v>
      </c>
      <c r="E596" s="67">
        <f t="shared" ca="1" si="41"/>
        <v>-0.04</v>
      </c>
      <c r="F596" s="21"/>
    </row>
    <row r="597" spans="1:6" x14ac:dyDescent="0.3">
      <c r="A597" s="34">
        <v>593</v>
      </c>
      <c r="B597" s="103">
        <f t="shared" ca="1" si="42"/>
        <v>62957</v>
      </c>
      <c r="C597" s="67">
        <f t="shared" ca="1" si="39"/>
        <v>0.04</v>
      </c>
      <c r="D597" s="103">
        <f t="shared" ca="1" si="40"/>
        <v>5806552</v>
      </c>
      <c r="E597" s="67">
        <f t="shared" ca="1" si="41"/>
        <v>0.03</v>
      </c>
      <c r="F597" s="21"/>
    </row>
    <row r="598" spans="1:6" x14ac:dyDescent="0.3">
      <c r="A598" s="34">
        <v>594</v>
      </c>
      <c r="B598" s="103">
        <f t="shared" ca="1" si="42"/>
        <v>58940</v>
      </c>
      <c r="C598" s="67">
        <f t="shared" ca="1" si="39"/>
        <v>-0.02</v>
      </c>
      <c r="D598" s="103">
        <f t="shared" ca="1" si="40"/>
        <v>5825545</v>
      </c>
      <c r="E598" s="67">
        <f t="shared" ca="1" si="41"/>
        <v>0.03</v>
      </c>
      <c r="F598" s="21"/>
    </row>
    <row r="599" spans="1:6" x14ac:dyDescent="0.3">
      <c r="A599" s="34">
        <v>595</v>
      </c>
      <c r="B599" s="103">
        <f t="shared" ca="1" si="42"/>
        <v>59831</v>
      </c>
      <c r="C599" s="67">
        <f t="shared" ca="1" si="39"/>
        <v>-0.01</v>
      </c>
      <c r="D599" s="103">
        <f t="shared" ca="1" si="40"/>
        <v>5521060</v>
      </c>
      <c r="E599" s="67">
        <f t="shared" ca="1" si="41"/>
        <v>-0.02</v>
      </c>
      <c r="F599" s="21"/>
    </row>
    <row r="600" spans="1:6" x14ac:dyDescent="0.3">
      <c r="A600" s="34">
        <v>596</v>
      </c>
      <c r="B600" s="103">
        <f t="shared" ca="1" si="42"/>
        <v>59941</v>
      </c>
      <c r="C600" s="67">
        <f t="shared" ca="1" si="39"/>
        <v>-0.01</v>
      </c>
      <c r="D600" s="103">
        <f t="shared" ca="1" si="40"/>
        <v>5715401</v>
      </c>
      <c r="E600" s="67">
        <f t="shared" ca="1" si="41"/>
        <v>0.01</v>
      </c>
      <c r="F600" s="21"/>
    </row>
    <row r="601" spans="1:6" x14ac:dyDescent="0.3">
      <c r="A601" s="34">
        <v>597</v>
      </c>
      <c r="B601" s="103">
        <f t="shared" ca="1" si="42"/>
        <v>59512</v>
      </c>
      <c r="C601" s="67">
        <f t="shared" ca="1" si="39"/>
        <v>-0.01</v>
      </c>
      <c r="D601" s="103">
        <f t="shared" ca="1" si="40"/>
        <v>5490293</v>
      </c>
      <c r="E601" s="67">
        <f t="shared" ca="1" si="41"/>
        <v>-0.03</v>
      </c>
      <c r="F601" s="21"/>
    </row>
    <row r="602" spans="1:6" x14ac:dyDescent="0.3">
      <c r="A602" s="34">
        <v>598</v>
      </c>
      <c r="B602" s="103">
        <f t="shared" ca="1" si="42"/>
        <v>59614</v>
      </c>
      <c r="C602" s="67">
        <f t="shared" ca="1" si="39"/>
        <v>-0.01</v>
      </c>
      <c r="D602" s="103">
        <f t="shared" ca="1" si="40"/>
        <v>5698502</v>
      </c>
      <c r="E602" s="67">
        <f t="shared" ca="1" si="41"/>
        <v>0.01</v>
      </c>
      <c r="F602" s="21"/>
    </row>
    <row r="603" spans="1:6" x14ac:dyDescent="0.3">
      <c r="A603" s="34">
        <v>599</v>
      </c>
      <c r="B603" s="103">
        <f t="shared" ca="1" si="42"/>
        <v>60301</v>
      </c>
      <c r="C603" s="67">
        <f t="shared" ca="1" si="39"/>
        <v>0</v>
      </c>
      <c r="D603" s="103">
        <f t="shared" ca="1" si="40"/>
        <v>5760657</v>
      </c>
      <c r="E603" s="67">
        <f t="shared" ca="1" si="41"/>
        <v>0.02</v>
      </c>
      <c r="F603" s="21"/>
    </row>
    <row r="604" spans="1:6" x14ac:dyDescent="0.3">
      <c r="A604" s="34">
        <v>600</v>
      </c>
      <c r="B604" s="103">
        <f t="shared" ca="1" si="42"/>
        <v>59554</v>
      </c>
      <c r="C604" s="67">
        <f t="shared" ca="1" si="39"/>
        <v>-0.01</v>
      </c>
      <c r="D604" s="103">
        <f t="shared" ca="1" si="40"/>
        <v>5464866</v>
      </c>
      <c r="E604" s="67">
        <f t="shared" ca="1" si="41"/>
        <v>-0.03</v>
      </c>
      <c r="F604" s="21"/>
    </row>
    <row r="605" spans="1:6" x14ac:dyDescent="0.3">
      <c r="A605" s="34">
        <v>601</v>
      </c>
      <c r="B605" s="103">
        <f t="shared" ca="1" si="42"/>
        <v>60274</v>
      </c>
      <c r="C605" s="67">
        <f t="shared" ca="1" si="39"/>
        <v>0</v>
      </c>
      <c r="D605" s="103">
        <f t="shared" ca="1" si="40"/>
        <v>5417922</v>
      </c>
      <c r="E605" s="67">
        <f t="shared" ca="1" si="41"/>
        <v>-0.04</v>
      </c>
      <c r="F605" s="21"/>
    </row>
    <row r="606" spans="1:6" x14ac:dyDescent="0.3">
      <c r="A606" s="34">
        <v>602</v>
      </c>
      <c r="B606" s="103">
        <f t="shared" ca="1" si="42"/>
        <v>59799</v>
      </c>
      <c r="C606" s="67">
        <f t="shared" ca="1" si="39"/>
        <v>-0.01</v>
      </c>
      <c r="D606" s="103">
        <f t="shared" ca="1" si="40"/>
        <v>5599441</v>
      </c>
      <c r="E606" s="67">
        <f t="shared" ca="1" si="41"/>
        <v>-0.01</v>
      </c>
      <c r="F606" s="21"/>
    </row>
    <row r="607" spans="1:6" x14ac:dyDescent="0.3">
      <c r="A607" s="34">
        <v>603</v>
      </c>
      <c r="B607" s="103">
        <f t="shared" ca="1" si="42"/>
        <v>57271</v>
      </c>
      <c r="C607" s="67">
        <f t="shared" ca="1" si="39"/>
        <v>-0.05</v>
      </c>
      <c r="D607" s="103">
        <f t="shared" ca="1" si="40"/>
        <v>5793680</v>
      </c>
      <c r="E607" s="67">
        <f t="shared" ca="1" si="41"/>
        <v>0.03</v>
      </c>
      <c r="F607" s="21"/>
    </row>
    <row r="608" spans="1:6" x14ac:dyDescent="0.3">
      <c r="A608" s="34">
        <v>604</v>
      </c>
      <c r="B608" s="103">
        <f t="shared" ca="1" si="42"/>
        <v>59104</v>
      </c>
      <c r="C608" s="67">
        <f t="shared" ca="1" si="39"/>
        <v>-0.02</v>
      </c>
      <c r="D608" s="103">
        <f t="shared" ca="1" si="40"/>
        <v>5514271</v>
      </c>
      <c r="E608" s="67">
        <f t="shared" ca="1" si="41"/>
        <v>-0.02</v>
      </c>
      <c r="F608" s="21"/>
    </row>
    <row r="609" spans="1:6" x14ac:dyDescent="0.3">
      <c r="A609" s="34">
        <v>605</v>
      </c>
      <c r="B609" s="103">
        <f t="shared" ca="1" si="42"/>
        <v>57555</v>
      </c>
      <c r="C609" s="67">
        <f t="shared" ca="1" si="39"/>
        <v>-0.05</v>
      </c>
      <c r="D609" s="103">
        <f t="shared" ca="1" si="40"/>
        <v>5709266</v>
      </c>
      <c r="E609" s="67">
        <f t="shared" ca="1" si="41"/>
        <v>0.01</v>
      </c>
      <c r="F609" s="21"/>
    </row>
    <row r="610" spans="1:6" x14ac:dyDescent="0.3">
      <c r="A610" s="34">
        <v>606</v>
      </c>
      <c r="B610" s="103">
        <f t="shared" ca="1" si="42"/>
        <v>59175</v>
      </c>
      <c r="C610" s="67">
        <f t="shared" ca="1" si="39"/>
        <v>-0.02</v>
      </c>
      <c r="D610" s="103">
        <f t="shared" ca="1" si="40"/>
        <v>5561122</v>
      </c>
      <c r="E610" s="67">
        <f t="shared" ca="1" si="41"/>
        <v>-0.01</v>
      </c>
      <c r="F610" s="21"/>
    </row>
    <row r="611" spans="1:6" x14ac:dyDescent="0.3">
      <c r="A611" s="34">
        <v>607</v>
      </c>
      <c r="B611" s="103">
        <f t="shared" ca="1" si="42"/>
        <v>59196</v>
      </c>
      <c r="C611" s="67">
        <f t="shared" ca="1" si="39"/>
        <v>-0.02</v>
      </c>
      <c r="D611" s="103">
        <f t="shared" ca="1" si="40"/>
        <v>5750668</v>
      </c>
      <c r="E611" s="67">
        <f t="shared" ca="1" si="41"/>
        <v>0.02</v>
      </c>
      <c r="F611" s="21"/>
    </row>
    <row r="612" spans="1:6" x14ac:dyDescent="0.3">
      <c r="A612" s="34">
        <v>608</v>
      </c>
      <c r="B612" s="103">
        <f t="shared" ca="1" si="42"/>
        <v>59319</v>
      </c>
      <c r="C612" s="67">
        <f t="shared" ca="1" si="39"/>
        <v>-0.02</v>
      </c>
      <c r="D612" s="103">
        <f t="shared" ca="1" si="40"/>
        <v>5475789</v>
      </c>
      <c r="E612" s="67">
        <f t="shared" ca="1" si="41"/>
        <v>-0.03</v>
      </c>
      <c r="F612" s="21"/>
    </row>
    <row r="613" spans="1:6" x14ac:dyDescent="0.3">
      <c r="A613" s="34">
        <v>609</v>
      </c>
      <c r="B613" s="103">
        <f t="shared" ca="1" si="42"/>
        <v>58069</v>
      </c>
      <c r="C613" s="67">
        <f t="shared" ca="1" si="39"/>
        <v>-0.04</v>
      </c>
      <c r="D613" s="103">
        <f t="shared" ca="1" si="40"/>
        <v>5789563</v>
      </c>
      <c r="E613" s="67">
        <f t="shared" ca="1" si="41"/>
        <v>0.03</v>
      </c>
      <c r="F613" s="21"/>
    </row>
    <row r="614" spans="1:6" x14ac:dyDescent="0.3">
      <c r="A614" s="34">
        <v>610</v>
      </c>
      <c r="B614" s="103">
        <f t="shared" ca="1" si="42"/>
        <v>61813</v>
      </c>
      <c r="C614" s="67">
        <f t="shared" ca="1" si="39"/>
        <v>0.03</v>
      </c>
      <c r="D614" s="103">
        <f t="shared" ca="1" si="40"/>
        <v>5568790</v>
      </c>
      <c r="E614" s="67">
        <f t="shared" ca="1" si="41"/>
        <v>-0.01</v>
      </c>
      <c r="F614" s="21"/>
    </row>
    <row r="615" spans="1:6" x14ac:dyDescent="0.3">
      <c r="A615" s="34">
        <v>611</v>
      </c>
      <c r="B615" s="103">
        <f t="shared" ca="1" si="42"/>
        <v>57412</v>
      </c>
      <c r="C615" s="67">
        <f t="shared" ca="1" si="39"/>
        <v>-0.05</v>
      </c>
      <c r="D615" s="103">
        <f t="shared" ca="1" si="40"/>
        <v>5525462</v>
      </c>
      <c r="E615" s="67">
        <f t="shared" ca="1" si="41"/>
        <v>-0.02</v>
      </c>
      <c r="F615" s="21"/>
    </row>
    <row r="616" spans="1:6" x14ac:dyDescent="0.3">
      <c r="A616" s="34">
        <v>612</v>
      </c>
      <c r="B616" s="103">
        <f t="shared" ca="1" si="42"/>
        <v>62020</v>
      </c>
      <c r="C616" s="67">
        <f t="shared" ca="1" si="39"/>
        <v>0.03</v>
      </c>
      <c r="D616" s="103">
        <f t="shared" ca="1" si="40"/>
        <v>5326263</v>
      </c>
      <c r="E616" s="67">
        <f t="shared" ca="1" si="41"/>
        <v>-0.05</v>
      </c>
      <c r="F616" s="21"/>
    </row>
    <row r="617" spans="1:6" x14ac:dyDescent="0.3">
      <c r="A617" s="34">
        <v>613</v>
      </c>
      <c r="B617" s="103">
        <f t="shared" ca="1" si="42"/>
        <v>57847</v>
      </c>
      <c r="C617" s="67">
        <f t="shared" ca="1" si="39"/>
        <v>-0.04</v>
      </c>
      <c r="D617" s="103">
        <f t="shared" ca="1" si="40"/>
        <v>5672611</v>
      </c>
      <c r="E617" s="67">
        <f t="shared" ca="1" si="41"/>
        <v>0.01</v>
      </c>
      <c r="F617" s="21"/>
    </row>
    <row r="618" spans="1:6" x14ac:dyDescent="0.3">
      <c r="A618" s="34">
        <v>614</v>
      </c>
      <c r="B618" s="103">
        <f t="shared" ca="1" si="42"/>
        <v>57061</v>
      </c>
      <c r="C618" s="67">
        <f t="shared" ca="1" si="39"/>
        <v>-0.05</v>
      </c>
      <c r="D618" s="103">
        <f t="shared" ca="1" si="40"/>
        <v>5403418</v>
      </c>
      <c r="E618" s="67">
        <f t="shared" ca="1" si="41"/>
        <v>-0.04</v>
      </c>
      <c r="F618" s="21"/>
    </row>
    <row r="619" spans="1:6" x14ac:dyDescent="0.3">
      <c r="A619" s="34">
        <v>615</v>
      </c>
      <c r="B619" s="103">
        <f t="shared" ca="1" si="42"/>
        <v>58530</v>
      </c>
      <c r="C619" s="67">
        <f t="shared" ca="1" si="39"/>
        <v>-0.03</v>
      </c>
      <c r="D619" s="103">
        <f t="shared" ca="1" si="40"/>
        <v>5674281</v>
      </c>
      <c r="E619" s="67">
        <f t="shared" ca="1" si="41"/>
        <v>0.01</v>
      </c>
      <c r="F619" s="21"/>
    </row>
    <row r="620" spans="1:6" x14ac:dyDescent="0.3">
      <c r="A620" s="34">
        <v>616</v>
      </c>
      <c r="B620" s="103">
        <f t="shared" ca="1" si="42"/>
        <v>60132</v>
      </c>
      <c r="C620" s="67">
        <f t="shared" ca="1" si="39"/>
        <v>0</v>
      </c>
      <c r="D620" s="103">
        <f t="shared" ca="1" si="40"/>
        <v>5852287</v>
      </c>
      <c r="E620" s="67">
        <f t="shared" ca="1" si="41"/>
        <v>0.04</v>
      </c>
      <c r="F620" s="21"/>
    </row>
    <row r="621" spans="1:6" x14ac:dyDescent="0.3">
      <c r="A621" s="34">
        <v>617</v>
      </c>
      <c r="B621" s="103">
        <f t="shared" ca="1" si="42"/>
        <v>58519</v>
      </c>
      <c r="C621" s="67">
        <f t="shared" ca="1" si="39"/>
        <v>-0.03</v>
      </c>
      <c r="D621" s="103">
        <f t="shared" ca="1" si="40"/>
        <v>5562755</v>
      </c>
      <c r="E621" s="67">
        <f t="shared" ca="1" si="41"/>
        <v>-0.01</v>
      </c>
      <c r="F621" s="21"/>
    </row>
    <row r="622" spans="1:6" x14ac:dyDescent="0.3">
      <c r="A622" s="34">
        <v>618</v>
      </c>
      <c r="B622" s="103">
        <f t="shared" ca="1" si="42"/>
        <v>61945</v>
      </c>
      <c r="C622" s="67">
        <f t="shared" ca="1" si="39"/>
        <v>0.03</v>
      </c>
      <c r="D622" s="103">
        <f t="shared" ca="1" si="40"/>
        <v>5675474</v>
      </c>
      <c r="E622" s="67">
        <f t="shared" ca="1" si="41"/>
        <v>0.01</v>
      </c>
      <c r="F622" s="21"/>
    </row>
    <row r="623" spans="1:6" x14ac:dyDescent="0.3">
      <c r="A623" s="34">
        <v>619</v>
      </c>
      <c r="B623" s="103">
        <f t="shared" ca="1" si="42"/>
        <v>58635</v>
      </c>
      <c r="C623" s="67">
        <f t="shared" ca="1" si="39"/>
        <v>-0.03</v>
      </c>
      <c r="D623" s="103">
        <f t="shared" ca="1" si="40"/>
        <v>5335656</v>
      </c>
      <c r="E623" s="67">
        <f t="shared" ca="1" si="41"/>
        <v>-0.05</v>
      </c>
      <c r="F623" s="21"/>
    </row>
    <row r="624" spans="1:6" x14ac:dyDescent="0.3">
      <c r="A624" s="34">
        <v>620</v>
      </c>
      <c r="B624" s="103">
        <f t="shared" ca="1" si="42"/>
        <v>58969</v>
      </c>
      <c r="C624" s="67">
        <f t="shared" ca="1" si="39"/>
        <v>-0.02</v>
      </c>
      <c r="D624" s="103">
        <f t="shared" ca="1" si="40"/>
        <v>5391628</v>
      </c>
      <c r="E624" s="67">
        <f t="shared" ca="1" si="41"/>
        <v>-0.04</v>
      </c>
      <c r="F624" s="21"/>
    </row>
    <row r="625" spans="1:6" x14ac:dyDescent="0.3">
      <c r="A625" s="34">
        <v>621</v>
      </c>
      <c r="B625" s="103">
        <f t="shared" ca="1" si="42"/>
        <v>58939</v>
      </c>
      <c r="C625" s="67">
        <f t="shared" ca="1" si="39"/>
        <v>-0.02</v>
      </c>
      <c r="D625" s="103">
        <f t="shared" ca="1" si="40"/>
        <v>5511896</v>
      </c>
      <c r="E625" s="67">
        <f t="shared" ca="1" si="41"/>
        <v>-0.02</v>
      </c>
      <c r="F625" s="21"/>
    </row>
    <row r="626" spans="1:6" x14ac:dyDescent="0.3">
      <c r="A626" s="34">
        <v>622</v>
      </c>
      <c r="B626" s="103">
        <f t="shared" ca="1" si="42"/>
        <v>57202</v>
      </c>
      <c r="C626" s="67">
        <f t="shared" ca="1" si="39"/>
        <v>-0.05</v>
      </c>
      <c r="D626" s="103">
        <f t="shared" ca="1" si="40"/>
        <v>5770190</v>
      </c>
      <c r="E626" s="67">
        <f t="shared" ca="1" si="41"/>
        <v>0.02</v>
      </c>
      <c r="F626" s="21"/>
    </row>
    <row r="627" spans="1:6" x14ac:dyDescent="0.3">
      <c r="A627" s="34">
        <v>623</v>
      </c>
      <c r="B627" s="103">
        <f t="shared" ca="1" si="42"/>
        <v>61852</v>
      </c>
      <c r="C627" s="67">
        <f t="shared" ca="1" si="39"/>
        <v>0.03</v>
      </c>
      <c r="D627" s="103">
        <f t="shared" ca="1" si="40"/>
        <v>5838848</v>
      </c>
      <c r="E627" s="67">
        <f t="shared" ca="1" si="41"/>
        <v>0.04</v>
      </c>
      <c r="F627" s="21"/>
    </row>
    <row r="628" spans="1:6" x14ac:dyDescent="0.3">
      <c r="A628" s="34">
        <v>624</v>
      </c>
      <c r="B628" s="103">
        <f t="shared" ca="1" si="42"/>
        <v>57668</v>
      </c>
      <c r="C628" s="67">
        <f t="shared" ca="1" si="39"/>
        <v>-0.04</v>
      </c>
      <c r="D628" s="103">
        <f t="shared" ca="1" si="40"/>
        <v>5511989</v>
      </c>
      <c r="E628" s="67">
        <f t="shared" ca="1" si="41"/>
        <v>-0.02</v>
      </c>
      <c r="F628" s="21"/>
    </row>
    <row r="629" spans="1:6" x14ac:dyDescent="0.3">
      <c r="A629" s="34">
        <v>625</v>
      </c>
      <c r="B629" s="103">
        <f t="shared" ca="1" si="42"/>
        <v>61626</v>
      </c>
      <c r="C629" s="67">
        <f t="shared" ca="1" si="39"/>
        <v>0.02</v>
      </c>
      <c r="D629" s="103">
        <f t="shared" ca="1" si="40"/>
        <v>5663618</v>
      </c>
      <c r="E629" s="67">
        <f t="shared" ca="1" si="41"/>
        <v>0.01</v>
      </c>
      <c r="F629" s="21"/>
    </row>
    <row r="630" spans="1:6" x14ac:dyDescent="0.3">
      <c r="A630" s="34">
        <v>626</v>
      </c>
      <c r="B630" s="103">
        <f t="shared" ca="1" si="42"/>
        <v>57400</v>
      </c>
      <c r="C630" s="67">
        <f t="shared" ca="1" si="39"/>
        <v>-0.05</v>
      </c>
      <c r="D630" s="103">
        <f t="shared" ca="1" si="40"/>
        <v>5613214</v>
      </c>
      <c r="E630" s="67">
        <f t="shared" ca="1" si="41"/>
        <v>0</v>
      </c>
      <c r="F630" s="21"/>
    </row>
    <row r="631" spans="1:6" x14ac:dyDescent="0.3">
      <c r="A631" s="34">
        <v>627</v>
      </c>
      <c r="B631" s="103">
        <f t="shared" ca="1" si="42"/>
        <v>58938</v>
      </c>
      <c r="C631" s="67">
        <f t="shared" ca="1" si="39"/>
        <v>-0.02</v>
      </c>
      <c r="D631" s="103">
        <f t="shared" ca="1" si="40"/>
        <v>5845219</v>
      </c>
      <c r="E631" s="67">
        <f t="shared" ca="1" si="41"/>
        <v>0.04</v>
      </c>
      <c r="F631" s="21"/>
    </row>
    <row r="632" spans="1:6" x14ac:dyDescent="0.3">
      <c r="A632" s="34">
        <v>628</v>
      </c>
      <c r="B632" s="103">
        <f t="shared" ca="1" si="42"/>
        <v>62863</v>
      </c>
      <c r="C632" s="67">
        <f t="shared" ca="1" si="39"/>
        <v>0.04</v>
      </c>
      <c r="D632" s="103">
        <f t="shared" ca="1" si="40"/>
        <v>5729144</v>
      </c>
      <c r="E632" s="67">
        <f t="shared" ca="1" si="41"/>
        <v>0.02</v>
      </c>
      <c r="F632" s="21"/>
    </row>
    <row r="633" spans="1:6" x14ac:dyDescent="0.3">
      <c r="A633" s="34">
        <v>629</v>
      </c>
      <c r="B633" s="103">
        <f t="shared" ca="1" si="42"/>
        <v>61100</v>
      </c>
      <c r="C633" s="67">
        <f t="shared" ca="1" si="39"/>
        <v>0.01</v>
      </c>
      <c r="D633" s="103">
        <f t="shared" ca="1" si="40"/>
        <v>5490152</v>
      </c>
      <c r="E633" s="67">
        <f t="shared" ca="1" si="41"/>
        <v>-0.03</v>
      </c>
      <c r="F633" s="21"/>
    </row>
    <row r="634" spans="1:6" x14ac:dyDescent="0.3">
      <c r="A634" s="34">
        <v>630</v>
      </c>
      <c r="B634" s="103">
        <f t="shared" ca="1" si="42"/>
        <v>57214</v>
      </c>
      <c r="C634" s="67">
        <f t="shared" ca="1" si="39"/>
        <v>-0.05</v>
      </c>
      <c r="D634" s="103">
        <f t="shared" ca="1" si="40"/>
        <v>5442914</v>
      </c>
      <c r="E634" s="67">
        <f t="shared" ca="1" si="41"/>
        <v>-0.03</v>
      </c>
      <c r="F634" s="21"/>
    </row>
    <row r="635" spans="1:6" x14ac:dyDescent="0.3">
      <c r="A635" s="34">
        <v>631</v>
      </c>
      <c r="B635" s="103">
        <f t="shared" ca="1" si="42"/>
        <v>58306</v>
      </c>
      <c r="C635" s="67">
        <f t="shared" ca="1" si="39"/>
        <v>-0.03</v>
      </c>
      <c r="D635" s="103">
        <f t="shared" ca="1" si="40"/>
        <v>5524058</v>
      </c>
      <c r="E635" s="67">
        <f t="shared" ca="1" si="41"/>
        <v>-0.02</v>
      </c>
      <c r="F635" s="21"/>
    </row>
    <row r="636" spans="1:6" x14ac:dyDescent="0.3">
      <c r="A636" s="34">
        <v>632</v>
      </c>
      <c r="B636" s="103">
        <f t="shared" ca="1" si="42"/>
        <v>59295</v>
      </c>
      <c r="C636" s="67">
        <f t="shared" ca="1" si="39"/>
        <v>-0.02</v>
      </c>
      <c r="D636" s="103">
        <f t="shared" ca="1" si="40"/>
        <v>5628129</v>
      </c>
      <c r="E636" s="67">
        <f t="shared" ca="1" si="41"/>
        <v>0</v>
      </c>
      <c r="F636" s="21"/>
    </row>
    <row r="637" spans="1:6" x14ac:dyDescent="0.3">
      <c r="A637" s="34">
        <v>633</v>
      </c>
      <c r="B637" s="103">
        <f t="shared" ca="1" si="42"/>
        <v>61146</v>
      </c>
      <c r="C637" s="67">
        <f t="shared" ca="1" si="39"/>
        <v>0.01</v>
      </c>
      <c r="D637" s="103">
        <f t="shared" ca="1" si="40"/>
        <v>5430219</v>
      </c>
      <c r="E637" s="67">
        <f t="shared" ca="1" si="41"/>
        <v>-0.04</v>
      </c>
      <c r="F637" s="21"/>
    </row>
    <row r="638" spans="1:6" x14ac:dyDescent="0.3">
      <c r="A638" s="34">
        <v>634</v>
      </c>
      <c r="B638" s="103">
        <f t="shared" ca="1" si="42"/>
        <v>57509</v>
      </c>
      <c r="C638" s="67">
        <f t="shared" ca="1" si="39"/>
        <v>-0.05</v>
      </c>
      <c r="D638" s="103">
        <f t="shared" ca="1" si="40"/>
        <v>5668377</v>
      </c>
      <c r="E638" s="67">
        <f t="shared" ca="1" si="41"/>
        <v>0.01</v>
      </c>
      <c r="F638" s="21"/>
    </row>
    <row r="639" spans="1:6" x14ac:dyDescent="0.3">
      <c r="A639" s="34">
        <v>635</v>
      </c>
      <c r="B639" s="103">
        <f t="shared" ca="1" si="42"/>
        <v>59924</v>
      </c>
      <c r="C639" s="67">
        <f t="shared" ca="1" si="39"/>
        <v>-0.01</v>
      </c>
      <c r="D639" s="103">
        <f t="shared" ca="1" si="40"/>
        <v>5722958</v>
      </c>
      <c r="E639" s="67">
        <f t="shared" ca="1" si="41"/>
        <v>0.02</v>
      </c>
      <c r="F639" s="21"/>
    </row>
    <row r="640" spans="1:6" x14ac:dyDescent="0.3">
      <c r="A640" s="34">
        <v>636</v>
      </c>
      <c r="B640" s="103">
        <f t="shared" ca="1" si="42"/>
        <v>61887</v>
      </c>
      <c r="C640" s="67">
        <f t="shared" ca="1" si="39"/>
        <v>0.03</v>
      </c>
      <c r="D640" s="103">
        <f t="shared" ca="1" si="40"/>
        <v>5716590</v>
      </c>
      <c r="E640" s="67">
        <f t="shared" ca="1" si="41"/>
        <v>0.01</v>
      </c>
      <c r="F640" s="21"/>
    </row>
    <row r="641" spans="1:6" x14ac:dyDescent="0.3">
      <c r="A641" s="34">
        <v>637</v>
      </c>
      <c r="B641" s="103">
        <f t="shared" ca="1" si="42"/>
        <v>62737</v>
      </c>
      <c r="C641" s="67">
        <f t="shared" ca="1" si="39"/>
        <v>0.04</v>
      </c>
      <c r="D641" s="103">
        <f t="shared" ca="1" si="40"/>
        <v>5810255</v>
      </c>
      <c r="E641" s="67">
        <f t="shared" ca="1" si="41"/>
        <v>0.03</v>
      </c>
      <c r="F641" s="21"/>
    </row>
    <row r="642" spans="1:6" x14ac:dyDescent="0.3">
      <c r="A642" s="34">
        <v>638</v>
      </c>
      <c r="B642" s="103">
        <f t="shared" ca="1" si="42"/>
        <v>59188</v>
      </c>
      <c r="C642" s="67">
        <f t="shared" ca="1" si="39"/>
        <v>-0.02</v>
      </c>
      <c r="D642" s="103">
        <f t="shared" ca="1" si="40"/>
        <v>5834519</v>
      </c>
      <c r="E642" s="67">
        <f t="shared" ca="1" si="41"/>
        <v>0.04</v>
      </c>
      <c r="F642" s="21"/>
    </row>
    <row r="643" spans="1:6" x14ac:dyDescent="0.3">
      <c r="A643" s="34">
        <v>639</v>
      </c>
      <c r="B643" s="103">
        <f t="shared" ca="1" si="42"/>
        <v>62771</v>
      </c>
      <c r="C643" s="67">
        <f t="shared" ca="1" si="39"/>
        <v>0.04</v>
      </c>
      <c r="D643" s="103">
        <f t="shared" ca="1" si="40"/>
        <v>5749529</v>
      </c>
      <c r="E643" s="67">
        <f t="shared" ca="1" si="41"/>
        <v>0.02</v>
      </c>
      <c r="F643" s="21"/>
    </row>
    <row r="644" spans="1:6" x14ac:dyDescent="0.3">
      <c r="A644" s="34">
        <v>640</v>
      </c>
      <c r="B644" s="103">
        <f t="shared" ca="1" si="42"/>
        <v>59313</v>
      </c>
      <c r="C644" s="67">
        <f t="shared" ca="1" si="39"/>
        <v>-0.02</v>
      </c>
      <c r="D644" s="103">
        <f t="shared" ca="1" si="40"/>
        <v>5637434</v>
      </c>
      <c r="E644" s="67">
        <f t="shared" ca="1" si="41"/>
        <v>0</v>
      </c>
      <c r="F644" s="21"/>
    </row>
    <row r="645" spans="1:6" x14ac:dyDescent="0.3">
      <c r="A645" s="34">
        <v>641</v>
      </c>
      <c r="B645" s="103">
        <f t="shared" ca="1" si="42"/>
        <v>59970</v>
      </c>
      <c r="C645" s="67">
        <f t="shared" ref="C645:C708" ca="1" si="43">_xlfn.XLOOKUP(B645,selling_price_range,Range,"",-1)</f>
        <v>-0.01</v>
      </c>
      <c r="D645" s="103">
        <f t="shared" ref="D645:D708" ca="1" si="44">RANDBETWEEN($P$5*(1+$G$5),$P$5*(1+$G$15))</f>
        <v>5404854</v>
      </c>
      <c r="E645" s="67">
        <f t="shared" ref="E645:E708" ca="1" si="45">_xlfn.XLOOKUP(D645,expenses_range,Range,"",-1)</f>
        <v>-0.04</v>
      </c>
      <c r="F645" s="21"/>
    </row>
    <row r="646" spans="1:6" x14ac:dyDescent="0.3">
      <c r="A646" s="34">
        <v>642</v>
      </c>
      <c r="B646" s="103">
        <f t="shared" ref="B646:B709" ca="1" si="46">RANDBETWEEN($P$4*(1+$G$5),$P$4*(1+$G$15))</f>
        <v>58457</v>
      </c>
      <c r="C646" s="67">
        <f t="shared" ca="1" si="43"/>
        <v>-0.03</v>
      </c>
      <c r="D646" s="103">
        <f t="shared" ca="1" si="44"/>
        <v>5553271</v>
      </c>
      <c r="E646" s="67">
        <f t="shared" ca="1" si="45"/>
        <v>-0.01</v>
      </c>
      <c r="F646" s="21"/>
    </row>
    <row r="647" spans="1:6" x14ac:dyDescent="0.3">
      <c r="A647" s="34">
        <v>643</v>
      </c>
      <c r="B647" s="103">
        <f t="shared" ca="1" si="46"/>
        <v>60679</v>
      </c>
      <c r="C647" s="67">
        <f t="shared" ca="1" si="43"/>
        <v>0.01</v>
      </c>
      <c r="D647" s="103">
        <f t="shared" ca="1" si="44"/>
        <v>5366737</v>
      </c>
      <c r="E647" s="67">
        <f t="shared" ca="1" si="45"/>
        <v>-0.05</v>
      </c>
      <c r="F647" s="21"/>
    </row>
    <row r="648" spans="1:6" x14ac:dyDescent="0.3">
      <c r="A648" s="34">
        <v>644</v>
      </c>
      <c r="B648" s="103">
        <f t="shared" ca="1" si="46"/>
        <v>62973</v>
      </c>
      <c r="C648" s="67">
        <f t="shared" ca="1" si="43"/>
        <v>0.04</v>
      </c>
      <c r="D648" s="103">
        <f t="shared" ca="1" si="44"/>
        <v>5860709</v>
      </c>
      <c r="E648" s="67">
        <f t="shared" ca="1" si="45"/>
        <v>0.04</v>
      </c>
      <c r="F648" s="21"/>
    </row>
    <row r="649" spans="1:6" x14ac:dyDescent="0.3">
      <c r="A649" s="34">
        <v>645</v>
      </c>
      <c r="B649" s="103">
        <f t="shared" ca="1" si="46"/>
        <v>61593</v>
      </c>
      <c r="C649" s="67">
        <f t="shared" ca="1" si="43"/>
        <v>0.02</v>
      </c>
      <c r="D649" s="103">
        <f t="shared" ca="1" si="44"/>
        <v>5758481</v>
      </c>
      <c r="E649" s="67">
        <f t="shared" ca="1" si="45"/>
        <v>0.02</v>
      </c>
      <c r="F649" s="21"/>
    </row>
    <row r="650" spans="1:6" x14ac:dyDescent="0.3">
      <c r="A650" s="34">
        <v>646</v>
      </c>
      <c r="B650" s="103">
        <f t="shared" ca="1" si="46"/>
        <v>62230</v>
      </c>
      <c r="C650" s="67">
        <f t="shared" ca="1" si="43"/>
        <v>0.03</v>
      </c>
      <c r="D650" s="103">
        <f t="shared" ca="1" si="44"/>
        <v>5458277</v>
      </c>
      <c r="E650" s="67">
        <f t="shared" ca="1" si="45"/>
        <v>-0.03</v>
      </c>
      <c r="F650" s="21"/>
    </row>
    <row r="651" spans="1:6" x14ac:dyDescent="0.3">
      <c r="A651" s="34">
        <v>647</v>
      </c>
      <c r="B651" s="103">
        <f t="shared" ca="1" si="46"/>
        <v>60310</v>
      </c>
      <c r="C651" s="67">
        <f t="shared" ca="1" si="43"/>
        <v>0</v>
      </c>
      <c r="D651" s="103">
        <f t="shared" ca="1" si="44"/>
        <v>5606705</v>
      </c>
      <c r="E651" s="67">
        <f t="shared" ca="1" si="45"/>
        <v>0</v>
      </c>
      <c r="F651" s="21"/>
    </row>
    <row r="652" spans="1:6" x14ac:dyDescent="0.3">
      <c r="A652" s="34">
        <v>648</v>
      </c>
      <c r="B652" s="103">
        <f t="shared" ca="1" si="46"/>
        <v>61095</v>
      </c>
      <c r="C652" s="67">
        <f t="shared" ca="1" si="43"/>
        <v>0.01</v>
      </c>
      <c r="D652" s="103">
        <f t="shared" ca="1" si="44"/>
        <v>5374217</v>
      </c>
      <c r="E652" s="67">
        <f t="shared" ca="1" si="45"/>
        <v>-0.05</v>
      </c>
      <c r="F652" s="21"/>
    </row>
    <row r="653" spans="1:6" x14ac:dyDescent="0.3">
      <c r="A653" s="34">
        <v>649</v>
      </c>
      <c r="B653" s="103">
        <f t="shared" ca="1" si="46"/>
        <v>61408</v>
      </c>
      <c r="C653" s="67">
        <f t="shared" ca="1" si="43"/>
        <v>0.02</v>
      </c>
      <c r="D653" s="103">
        <f t="shared" ca="1" si="44"/>
        <v>5757007</v>
      </c>
      <c r="E653" s="67">
        <f t="shared" ca="1" si="45"/>
        <v>0.02</v>
      </c>
      <c r="F653" s="21"/>
    </row>
    <row r="654" spans="1:6" x14ac:dyDescent="0.3">
      <c r="A654" s="34">
        <v>650</v>
      </c>
      <c r="B654" s="103">
        <f t="shared" ca="1" si="46"/>
        <v>57658</v>
      </c>
      <c r="C654" s="67">
        <f t="shared" ca="1" si="43"/>
        <v>-0.04</v>
      </c>
      <c r="D654" s="103">
        <f t="shared" ca="1" si="44"/>
        <v>5793505</v>
      </c>
      <c r="E654" s="67">
        <f t="shared" ca="1" si="45"/>
        <v>0.03</v>
      </c>
      <c r="F654" s="21"/>
    </row>
    <row r="655" spans="1:6" x14ac:dyDescent="0.3">
      <c r="A655" s="34">
        <v>651</v>
      </c>
      <c r="B655" s="103">
        <f t="shared" ca="1" si="46"/>
        <v>57241</v>
      </c>
      <c r="C655" s="67">
        <f t="shared" ca="1" si="43"/>
        <v>-0.05</v>
      </c>
      <c r="D655" s="103">
        <f t="shared" ca="1" si="44"/>
        <v>5648671</v>
      </c>
      <c r="E655" s="67">
        <f t="shared" ca="1" si="45"/>
        <v>0</v>
      </c>
      <c r="F655" s="21"/>
    </row>
    <row r="656" spans="1:6" x14ac:dyDescent="0.3">
      <c r="A656" s="34">
        <v>652</v>
      </c>
      <c r="B656" s="103">
        <f t="shared" ca="1" si="46"/>
        <v>59133</v>
      </c>
      <c r="C656" s="67">
        <f t="shared" ca="1" si="43"/>
        <v>-0.02</v>
      </c>
      <c r="D656" s="103">
        <f t="shared" ca="1" si="44"/>
        <v>5687595</v>
      </c>
      <c r="E656" s="67">
        <f t="shared" ca="1" si="45"/>
        <v>0.01</v>
      </c>
      <c r="F656" s="21"/>
    </row>
    <row r="657" spans="1:6" x14ac:dyDescent="0.3">
      <c r="A657" s="34">
        <v>653</v>
      </c>
      <c r="B657" s="103">
        <f t="shared" ca="1" si="46"/>
        <v>61763</v>
      </c>
      <c r="C657" s="67">
        <f t="shared" ca="1" si="43"/>
        <v>0.02</v>
      </c>
      <c r="D657" s="103">
        <f t="shared" ca="1" si="44"/>
        <v>5431761</v>
      </c>
      <c r="E657" s="67">
        <f t="shared" ca="1" si="45"/>
        <v>-0.04</v>
      </c>
      <c r="F657" s="21"/>
    </row>
    <row r="658" spans="1:6" x14ac:dyDescent="0.3">
      <c r="A658" s="34">
        <v>654</v>
      </c>
      <c r="B658" s="103">
        <f t="shared" ca="1" si="46"/>
        <v>57386</v>
      </c>
      <c r="C658" s="67">
        <f t="shared" ca="1" si="43"/>
        <v>-0.05</v>
      </c>
      <c r="D658" s="103">
        <f t="shared" ca="1" si="44"/>
        <v>5399217</v>
      </c>
      <c r="E658" s="67">
        <f t="shared" ca="1" si="45"/>
        <v>-0.04</v>
      </c>
      <c r="F658" s="21"/>
    </row>
    <row r="659" spans="1:6" x14ac:dyDescent="0.3">
      <c r="A659" s="34">
        <v>655</v>
      </c>
      <c r="B659" s="103">
        <f t="shared" ca="1" si="46"/>
        <v>57536</v>
      </c>
      <c r="C659" s="67">
        <f t="shared" ca="1" si="43"/>
        <v>-0.05</v>
      </c>
      <c r="D659" s="103">
        <f t="shared" ca="1" si="44"/>
        <v>5470097</v>
      </c>
      <c r="E659" s="67">
        <f t="shared" ca="1" si="45"/>
        <v>-0.03</v>
      </c>
      <c r="F659" s="21"/>
    </row>
    <row r="660" spans="1:6" x14ac:dyDescent="0.3">
      <c r="A660" s="34">
        <v>656</v>
      </c>
      <c r="B660" s="103">
        <f t="shared" ca="1" si="46"/>
        <v>58702</v>
      </c>
      <c r="C660" s="67">
        <f t="shared" ca="1" si="43"/>
        <v>-0.03</v>
      </c>
      <c r="D660" s="103">
        <f t="shared" ca="1" si="44"/>
        <v>5688771</v>
      </c>
      <c r="E660" s="67">
        <f t="shared" ca="1" si="45"/>
        <v>0.01</v>
      </c>
      <c r="F660" s="21"/>
    </row>
    <row r="661" spans="1:6" x14ac:dyDescent="0.3">
      <c r="A661" s="34">
        <v>657</v>
      </c>
      <c r="B661" s="103">
        <f t="shared" ca="1" si="46"/>
        <v>62177</v>
      </c>
      <c r="C661" s="67">
        <f t="shared" ca="1" si="43"/>
        <v>0.03</v>
      </c>
      <c r="D661" s="103">
        <f t="shared" ca="1" si="44"/>
        <v>5500067</v>
      </c>
      <c r="E661" s="67">
        <f t="shared" ca="1" si="45"/>
        <v>-0.02</v>
      </c>
      <c r="F661" s="21"/>
    </row>
    <row r="662" spans="1:6" x14ac:dyDescent="0.3">
      <c r="A662" s="34">
        <v>658</v>
      </c>
      <c r="B662" s="103">
        <f t="shared" ca="1" si="46"/>
        <v>60649</v>
      </c>
      <c r="C662" s="67">
        <f t="shared" ca="1" si="43"/>
        <v>0.01</v>
      </c>
      <c r="D662" s="103">
        <f t="shared" ca="1" si="44"/>
        <v>5711311</v>
      </c>
      <c r="E662" s="67">
        <f t="shared" ca="1" si="45"/>
        <v>0.01</v>
      </c>
      <c r="F662" s="21"/>
    </row>
    <row r="663" spans="1:6" x14ac:dyDescent="0.3">
      <c r="A663" s="34">
        <v>659</v>
      </c>
      <c r="B663" s="103">
        <f t="shared" ca="1" si="46"/>
        <v>57378</v>
      </c>
      <c r="C663" s="67">
        <f t="shared" ca="1" si="43"/>
        <v>-0.05</v>
      </c>
      <c r="D663" s="103">
        <f t="shared" ca="1" si="44"/>
        <v>5361098</v>
      </c>
      <c r="E663" s="67">
        <f t="shared" ca="1" si="45"/>
        <v>-0.05</v>
      </c>
      <c r="F663" s="21"/>
    </row>
    <row r="664" spans="1:6" x14ac:dyDescent="0.3">
      <c r="A664" s="34">
        <v>660</v>
      </c>
      <c r="B664" s="103">
        <f t="shared" ca="1" si="46"/>
        <v>62314</v>
      </c>
      <c r="C664" s="67">
        <f t="shared" ca="1" si="43"/>
        <v>0.03</v>
      </c>
      <c r="D664" s="103">
        <f t="shared" ca="1" si="44"/>
        <v>5653961</v>
      </c>
      <c r="E664" s="67">
        <f t="shared" ca="1" si="45"/>
        <v>0</v>
      </c>
      <c r="F664" s="21"/>
    </row>
    <row r="665" spans="1:6" x14ac:dyDescent="0.3">
      <c r="A665" s="34">
        <v>661</v>
      </c>
      <c r="B665" s="103">
        <f t="shared" ca="1" si="46"/>
        <v>61819</v>
      </c>
      <c r="C665" s="67">
        <f t="shared" ca="1" si="43"/>
        <v>0.03</v>
      </c>
      <c r="D665" s="103">
        <f t="shared" ca="1" si="44"/>
        <v>5515175</v>
      </c>
      <c r="E665" s="67">
        <f t="shared" ca="1" si="45"/>
        <v>-0.02</v>
      </c>
      <c r="F665" s="21"/>
    </row>
    <row r="666" spans="1:6" x14ac:dyDescent="0.3">
      <c r="A666" s="34">
        <v>662</v>
      </c>
      <c r="B666" s="103">
        <f t="shared" ca="1" si="46"/>
        <v>57237</v>
      </c>
      <c r="C666" s="67">
        <f t="shared" ca="1" si="43"/>
        <v>-0.05</v>
      </c>
      <c r="D666" s="103">
        <f t="shared" ca="1" si="44"/>
        <v>5590304</v>
      </c>
      <c r="E666" s="67">
        <f t="shared" ca="1" si="45"/>
        <v>-0.01</v>
      </c>
      <c r="F666" s="21"/>
    </row>
    <row r="667" spans="1:6" x14ac:dyDescent="0.3">
      <c r="A667" s="34">
        <v>663</v>
      </c>
      <c r="B667" s="103">
        <f t="shared" ca="1" si="46"/>
        <v>61560</v>
      </c>
      <c r="C667" s="67">
        <f t="shared" ca="1" si="43"/>
        <v>0.02</v>
      </c>
      <c r="D667" s="103">
        <f t="shared" ca="1" si="44"/>
        <v>5735062</v>
      </c>
      <c r="E667" s="67">
        <f t="shared" ca="1" si="45"/>
        <v>0.02</v>
      </c>
      <c r="F667" s="21"/>
    </row>
    <row r="668" spans="1:6" x14ac:dyDescent="0.3">
      <c r="A668" s="34">
        <v>664</v>
      </c>
      <c r="B668" s="103">
        <f t="shared" ca="1" si="46"/>
        <v>57898</v>
      </c>
      <c r="C668" s="67">
        <f t="shared" ca="1" si="43"/>
        <v>-0.04</v>
      </c>
      <c r="D668" s="103">
        <f t="shared" ca="1" si="44"/>
        <v>5875145</v>
      </c>
      <c r="E668" s="67">
        <f t="shared" ca="1" si="45"/>
        <v>0.04</v>
      </c>
      <c r="F668" s="21"/>
    </row>
    <row r="669" spans="1:6" x14ac:dyDescent="0.3">
      <c r="A669" s="34">
        <v>665</v>
      </c>
      <c r="B669" s="103">
        <f t="shared" ca="1" si="46"/>
        <v>58199</v>
      </c>
      <c r="C669" s="67">
        <f t="shared" ca="1" si="43"/>
        <v>-0.04</v>
      </c>
      <c r="D669" s="103">
        <f t="shared" ca="1" si="44"/>
        <v>5812956</v>
      </c>
      <c r="E669" s="67">
        <f t="shared" ca="1" si="45"/>
        <v>0.03</v>
      </c>
      <c r="F669" s="21"/>
    </row>
    <row r="670" spans="1:6" x14ac:dyDescent="0.3">
      <c r="A670" s="34">
        <v>666</v>
      </c>
      <c r="B670" s="103">
        <f t="shared" ca="1" si="46"/>
        <v>60950</v>
      </c>
      <c r="C670" s="67">
        <f t="shared" ca="1" si="43"/>
        <v>0.01</v>
      </c>
      <c r="D670" s="103">
        <f t="shared" ca="1" si="44"/>
        <v>5513984</v>
      </c>
      <c r="E670" s="67">
        <f t="shared" ca="1" si="45"/>
        <v>-0.02</v>
      </c>
      <c r="F670" s="21"/>
    </row>
    <row r="671" spans="1:6" x14ac:dyDescent="0.3">
      <c r="A671" s="34">
        <v>667</v>
      </c>
      <c r="B671" s="103">
        <f t="shared" ca="1" si="46"/>
        <v>59043</v>
      </c>
      <c r="C671" s="67">
        <f t="shared" ca="1" si="43"/>
        <v>-0.02</v>
      </c>
      <c r="D671" s="103">
        <f t="shared" ca="1" si="44"/>
        <v>5334286</v>
      </c>
      <c r="E671" s="67">
        <f t="shared" ca="1" si="45"/>
        <v>-0.05</v>
      </c>
      <c r="F671" s="21"/>
    </row>
    <row r="672" spans="1:6" x14ac:dyDescent="0.3">
      <c r="A672" s="34">
        <v>668</v>
      </c>
      <c r="B672" s="103">
        <f t="shared" ca="1" si="46"/>
        <v>62374</v>
      </c>
      <c r="C672" s="67">
        <f t="shared" ca="1" si="43"/>
        <v>0.03</v>
      </c>
      <c r="D672" s="103">
        <f t="shared" ca="1" si="44"/>
        <v>5543798</v>
      </c>
      <c r="E672" s="67">
        <f t="shared" ca="1" si="45"/>
        <v>-0.02</v>
      </c>
      <c r="F672" s="21"/>
    </row>
    <row r="673" spans="1:6" x14ac:dyDescent="0.3">
      <c r="A673" s="34">
        <v>669</v>
      </c>
      <c r="B673" s="103">
        <f t="shared" ca="1" si="46"/>
        <v>58936</v>
      </c>
      <c r="C673" s="67">
        <f t="shared" ca="1" si="43"/>
        <v>-0.02</v>
      </c>
      <c r="D673" s="103">
        <f t="shared" ca="1" si="44"/>
        <v>5839653</v>
      </c>
      <c r="E673" s="67">
        <f t="shared" ca="1" si="45"/>
        <v>0.04</v>
      </c>
      <c r="F673" s="21"/>
    </row>
    <row r="674" spans="1:6" x14ac:dyDescent="0.3">
      <c r="A674" s="34">
        <v>670</v>
      </c>
      <c r="B674" s="103">
        <f t="shared" ca="1" si="46"/>
        <v>60091</v>
      </c>
      <c r="C674" s="67">
        <f t="shared" ca="1" si="43"/>
        <v>0</v>
      </c>
      <c r="D674" s="103">
        <f t="shared" ca="1" si="44"/>
        <v>5493339</v>
      </c>
      <c r="E674" s="67">
        <f t="shared" ca="1" si="45"/>
        <v>-0.02</v>
      </c>
      <c r="F674" s="21"/>
    </row>
    <row r="675" spans="1:6" x14ac:dyDescent="0.3">
      <c r="A675" s="34">
        <v>671</v>
      </c>
      <c r="B675" s="103">
        <f t="shared" ca="1" si="46"/>
        <v>61891</v>
      </c>
      <c r="C675" s="67">
        <f t="shared" ca="1" si="43"/>
        <v>0.03</v>
      </c>
      <c r="D675" s="103">
        <f t="shared" ca="1" si="44"/>
        <v>5552373</v>
      </c>
      <c r="E675" s="67">
        <f t="shared" ca="1" si="45"/>
        <v>-0.01</v>
      </c>
      <c r="F675" s="21"/>
    </row>
    <row r="676" spans="1:6" x14ac:dyDescent="0.3">
      <c r="A676" s="34">
        <v>672</v>
      </c>
      <c r="B676" s="103">
        <f t="shared" ca="1" si="46"/>
        <v>59979</v>
      </c>
      <c r="C676" s="67">
        <f t="shared" ca="1" si="43"/>
        <v>-0.01</v>
      </c>
      <c r="D676" s="103">
        <f t="shared" ca="1" si="44"/>
        <v>5517223</v>
      </c>
      <c r="E676" s="67">
        <f t="shared" ca="1" si="45"/>
        <v>-0.02</v>
      </c>
      <c r="F676" s="21"/>
    </row>
    <row r="677" spans="1:6" x14ac:dyDescent="0.3">
      <c r="A677" s="34">
        <v>673</v>
      </c>
      <c r="B677" s="103">
        <f t="shared" ca="1" si="46"/>
        <v>62654</v>
      </c>
      <c r="C677" s="67">
        <f t="shared" ca="1" si="43"/>
        <v>0.04</v>
      </c>
      <c r="D677" s="103">
        <f t="shared" ca="1" si="44"/>
        <v>5610153</v>
      </c>
      <c r="E677" s="67">
        <f t="shared" ca="1" si="45"/>
        <v>0</v>
      </c>
      <c r="F677" s="21"/>
    </row>
    <row r="678" spans="1:6" x14ac:dyDescent="0.3">
      <c r="A678" s="34">
        <v>674</v>
      </c>
      <c r="B678" s="103">
        <f t="shared" ca="1" si="46"/>
        <v>57556</v>
      </c>
      <c r="C678" s="67">
        <f t="shared" ca="1" si="43"/>
        <v>-0.05</v>
      </c>
      <c r="D678" s="103">
        <f t="shared" ca="1" si="44"/>
        <v>5535885</v>
      </c>
      <c r="E678" s="67">
        <f t="shared" ca="1" si="45"/>
        <v>-0.02</v>
      </c>
      <c r="F678" s="21"/>
    </row>
    <row r="679" spans="1:6" x14ac:dyDescent="0.3">
      <c r="A679" s="34">
        <v>675</v>
      </c>
      <c r="B679" s="103">
        <f t="shared" ca="1" si="46"/>
        <v>62072</v>
      </c>
      <c r="C679" s="67">
        <f t="shared" ca="1" si="43"/>
        <v>0.03</v>
      </c>
      <c r="D679" s="103">
        <f t="shared" ca="1" si="44"/>
        <v>5388556</v>
      </c>
      <c r="E679" s="67">
        <f t="shared" ca="1" si="45"/>
        <v>-0.04</v>
      </c>
      <c r="F679" s="21"/>
    </row>
    <row r="680" spans="1:6" x14ac:dyDescent="0.3">
      <c r="A680" s="34">
        <v>676</v>
      </c>
      <c r="B680" s="103">
        <f t="shared" ca="1" si="46"/>
        <v>61022</v>
      </c>
      <c r="C680" s="67">
        <f t="shared" ca="1" si="43"/>
        <v>0.01</v>
      </c>
      <c r="D680" s="103">
        <f t="shared" ca="1" si="44"/>
        <v>5652654</v>
      </c>
      <c r="E680" s="67">
        <f t="shared" ca="1" si="45"/>
        <v>0</v>
      </c>
      <c r="F680" s="21"/>
    </row>
    <row r="681" spans="1:6" x14ac:dyDescent="0.3">
      <c r="A681" s="34">
        <v>677</v>
      </c>
      <c r="B681" s="103">
        <f t="shared" ca="1" si="46"/>
        <v>61738</v>
      </c>
      <c r="C681" s="67">
        <f t="shared" ca="1" si="43"/>
        <v>0.02</v>
      </c>
      <c r="D681" s="103">
        <f t="shared" ca="1" si="44"/>
        <v>5468291</v>
      </c>
      <c r="E681" s="67">
        <f t="shared" ca="1" si="45"/>
        <v>-0.03</v>
      </c>
      <c r="F681" s="21"/>
    </row>
    <row r="682" spans="1:6" x14ac:dyDescent="0.3">
      <c r="A682" s="34">
        <v>678</v>
      </c>
      <c r="B682" s="103">
        <f t="shared" ca="1" si="46"/>
        <v>58643</v>
      </c>
      <c r="C682" s="67">
        <f t="shared" ca="1" si="43"/>
        <v>-0.03</v>
      </c>
      <c r="D682" s="103">
        <f t="shared" ca="1" si="44"/>
        <v>5375543</v>
      </c>
      <c r="E682" s="67">
        <f t="shared" ca="1" si="45"/>
        <v>-0.05</v>
      </c>
      <c r="F682" s="21"/>
    </row>
    <row r="683" spans="1:6" x14ac:dyDescent="0.3">
      <c r="A683" s="34">
        <v>679</v>
      </c>
      <c r="B683" s="103">
        <f t="shared" ca="1" si="46"/>
        <v>57841</v>
      </c>
      <c r="C683" s="67">
        <f t="shared" ca="1" si="43"/>
        <v>-0.04</v>
      </c>
      <c r="D683" s="103">
        <f t="shared" ca="1" si="44"/>
        <v>5837772</v>
      </c>
      <c r="E683" s="67">
        <f t="shared" ca="1" si="45"/>
        <v>0.04</v>
      </c>
      <c r="F683" s="21"/>
    </row>
    <row r="684" spans="1:6" x14ac:dyDescent="0.3">
      <c r="A684" s="34">
        <v>680</v>
      </c>
      <c r="B684" s="103">
        <f t="shared" ca="1" si="46"/>
        <v>58905</v>
      </c>
      <c r="C684" s="67">
        <f t="shared" ca="1" si="43"/>
        <v>-0.02</v>
      </c>
      <c r="D684" s="103">
        <f t="shared" ca="1" si="44"/>
        <v>5573339</v>
      </c>
      <c r="E684" s="67">
        <f t="shared" ca="1" si="45"/>
        <v>-0.01</v>
      </c>
      <c r="F684" s="21"/>
    </row>
    <row r="685" spans="1:6" x14ac:dyDescent="0.3">
      <c r="A685" s="34">
        <v>681</v>
      </c>
      <c r="B685" s="103">
        <f t="shared" ca="1" si="46"/>
        <v>60195</v>
      </c>
      <c r="C685" s="67">
        <f t="shared" ca="1" si="43"/>
        <v>0</v>
      </c>
      <c r="D685" s="103">
        <f t="shared" ca="1" si="44"/>
        <v>5657627</v>
      </c>
      <c r="E685" s="67">
        <f t="shared" ca="1" si="45"/>
        <v>0</v>
      </c>
      <c r="F685" s="21"/>
    </row>
    <row r="686" spans="1:6" x14ac:dyDescent="0.3">
      <c r="A686" s="34">
        <v>682</v>
      </c>
      <c r="B686" s="103">
        <f t="shared" ca="1" si="46"/>
        <v>59926</v>
      </c>
      <c r="C686" s="67">
        <f t="shared" ca="1" si="43"/>
        <v>-0.01</v>
      </c>
      <c r="D686" s="103">
        <f t="shared" ca="1" si="44"/>
        <v>5820249</v>
      </c>
      <c r="E686" s="67">
        <f t="shared" ca="1" si="45"/>
        <v>0.03</v>
      </c>
      <c r="F686" s="21"/>
    </row>
    <row r="687" spans="1:6" x14ac:dyDescent="0.3">
      <c r="A687" s="34">
        <v>683</v>
      </c>
      <c r="B687" s="103">
        <f t="shared" ca="1" si="46"/>
        <v>60233</v>
      </c>
      <c r="C687" s="67">
        <f t="shared" ca="1" si="43"/>
        <v>0</v>
      </c>
      <c r="D687" s="103">
        <f t="shared" ca="1" si="44"/>
        <v>5445260</v>
      </c>
      <c r="E687" s="67">
        <f t="shared" ca="1" si="45"/>
        <v>-0.03</v>
      </c>
      <c r="F687" s="21"/>
    </row>
    <row r="688" spans="1:6" x14ac:dyDescent="0.3">
      <c r="A688" s="34">
        <v>684</v>
      </c>
      <c r="B688" s="103">
        <f t="shared" ca="1" si="46"/>
        <v>60073</v>
      </c>
      <c r="C688" s="67">
        <f t="shared" ca="1" si="43"/>
        <v>0</v>
      </c>
      <c r="D688" s="103">
        <f t="shared" ca="1" si="44"/>
        <v>5652204</v>
      </c>
      <c r="E688" s="67">
        <f t="shared" ca="1" si="45"/>
        <v>0</v>
      </c>
      <c r="F688" s="21"/>
    </row>
    <row r="689" spans="1:6" x14ac:dyDescent="0.3">
      <c r="A689" s="34">
        <v>685</v>
      </c>
      <c r="B689" s="103">
        <f t="shared" ca="1" si="46"/>
        <v>58691</v>
      </c>
      <c r="C689" s="67">
        <f t="shared" ca="1" si="43"/>
        <v>-0.03</v>
      </c>
      <c r="D689" s="103">
        <f t="shared" ca="1" si="44"/>
        <v>5474964</v>
      </c>
      <c r="E689" s="67">
        <f t="shared" ca="1" si="45"/>
        <v>-0.03</v>
      </c>
      <c r="F689" s="21"/>
    </row>
    <row r="690" spans="1:6" x14ac:dyDescent="0.3">
      <c r="A690" s="34">
        <v>686</v>
      </c>
      <c r="B690" s="103">
        <f t="shared" ca="1" si="46"/>
        <v>58612</v>
      </c>
      <c r="C690" s="67">
        <f t="shared" ca="1" si="43"/>
        <v>-0.03</v>
      </c>
      <c r="D690" s="103">
        <f t="shared" ca="1" si="44"/>
        <v>5395665</v>
      </c>
      <c r="E690" s="67">
        <f t="shared" ca="1" si="45"/>
        <v>-0.04</v>
      </c>
      <c r="F690" s="21"/>
    </row>
    <row r="691" spans="1:6" x14ac:dyDescent="0.3">
      <c r="A691" s="34">
        <v>687</v>
      </c>
      <c r="B691" s="103">
        <f t="shared" ca="1" si="46"/>
        <v>61872</v>
      </c>
      <c r="C691" s="67">
        <f t="shared" ca="1" si="43"/>
        <v>0.03</v>
      </c>
      <c r="D691" s="103">
        <f t="shared" ca="1" si="44"/>
        <v>5593738</v>
      </c>
      <c r="E691" s="67">
        <f t="shared" ca="1" si="45"/>
        <v>-0.01</v>
      </c>
      <c r="F691" s="21"/>
    </row>
    <row r="692" spans="1:6" x14ac:dyDescent="0.3">
      <c r="A692" s="34">
        <v>688</v>
      </c>
      <c r="B692" s="103">
        <f t="shared" ca="1" si="46"/>
        <v>59784</v>
      </c>
      <c r="C692" s="67">
        <f t="shared" ca="1" si="43"/>
        <v>-0.01</v>
      </c>
      <c r="D692" s="103">
        <f t="shared" ca="1" si="44"/>
        <v>5858989</v>
      </c>
      <c r="E692" s="67">
        <f t="shared" ca="1" si="45"/>
        <v>0.04</v>
      </c>
      <c r="F692" s="21"/>
    </row>
    <row r="693" spans="1:6" x14ac:dyDescent="0.3">
      <c r="A693" s="34">
        <v>689</v>
      </c>
      <c r="B693" s="103">
        <f t="shared" ca="1" si="46"/>
        <v>58601</v>
      </c>
      <c r="C693" s="67">
        <f t="shared" ca="1" si="43"/>
        <v>-0.03</v>
      </c>
      <c r="D693" s="103">
        <f t="shared" ca="1" si="44"/>
        <v>5688977</v>
      </c>
      <c r="E693" s="67">
        <f t="shared" ca="1" si="45"/>
        <v>0.01</v>
      </c>
      <c r="F693" s="21"/>
    </row>
    <row r="694" spans="1:6" x14ac:dyDescent="0.3">
      <c r="A694" s="34">
        <v>690</v>
      </c>
      <c r="B694" s="103">
        <f t="shared" ca="1" si="46"/>
        <v>60443</v>
      </c>
      <c r="C694" s="67">
        <f t="shared" ca="1" si="43"/>
        <v>0</v>
      </c>
      <c r="D694" s="103">
        <f t="shared" ca="1" si="44"/>
        <v>5714528</v>
      </c>
      <c r="E694" s="67">
        <f t="shared" ca="1" si="45"/>
        <v>0.01</v>
      </c>
      <c r="F694" s="21"/>
    </row>
    <row r="695" spans="1:6" x14ac:dyDescent="0.3">
      <c r="A695" s="34">
        <v>691</v>
      </c>
      <c r="B695" s="103">
        <f t="shared" ca="1" si="46"/>
        <v>59691</v>
      </c>
      <c r="C695" s="67">
        <f t="shared" ca="1" si="43"/>
        <v>-0.01</v>
      </c>
      <c r="D695" s="103">
        <f t="shared" ca="1" si="44"/>
        <v>5663688</v>
      </c>
      <c r="E695" s="67">
        <f t="shared" ca="1" si="45"/>
        <v>0.01</v>
      </c>
      <c r="F695" s="21"/>
    </row>
    <row r="696" spans="1:6" x14ac:dyDescent="0.3">
      <c r="A696" s="34">
        <v>692</v>
      </c>
      <c r="B696" s="103">
        <f t="shared" ca="1" si="46"/>
        <v>57083</v>
      </c>
      <c r="C696" s="67">
        <f t="shared" ca="1" si="43"/>
        <v>-0.05</v>
      </c>
      <c r="D696" s="103">
        <f t="shared" ca="1" si="44"/>
        <v>5569468</v>
      </c>
      <c r="E696" s="67">
        <f t="shared" ca="1" si="45"/>
        <v>-0.01</v>
      </c>
      <c r="F696" s="21"/>
    </row>
    <row r="697" spans="1:6" x14ac:dyDescent="0.3">
      <c r="A697" s="34">
        <v>693</v>
      </c>
      <c r="B697" s="103">
        <f t="shared" ca="1" si="46"/>
        <v>62649</v>
      </c>
      <c r="C697" s="67">
        <f t="shared" ca="1" si="43"/>
        <v>0.04</v>
      </c>
      <c r="D697" s="103">
        <f t="shared" ca="1" si="44"/>
        <v>5715480</v>
      </c>
      <c r="E697" s="67">
        <f t="shared" ca="1" si="45"/>
        <v>0.01</v>
      </c>
      <c r="F697" s="21"/>
    </row>
    <row r="698" spans="1:6" x14ac:dyDescent="0.3">
      <c r="A698" s="34">
        <v>694</v>
      </c>
      <c r="B698" s="103">
        <f t="shared" ca="1" si="46"/>
        <v>60019</v>
      </c>
      <c r="C698" s="67">
        <f t="shared" ca="1" si="43"/>
        <v>0</v>
      </c>
      <c r="D698" s="103">
        <f t="shared" ca="1" si="44"/>
        <v>5575453</v>
      </c>
      <c r="E698" s="67">
        <f t="shared" ca="1" si="45"/>
        <v>-0.01</v>
      </c>
      <c r="F698" s="21"/>
    </row>
    <row r="699" spans="1:6" x14ac:dyDescent="0.3">
      <c r="A699" s="34">
        <v>695</v>
      </c>
      <c r="B699" s="103">
        <f t="shared" ca="1" si="46"/>
        <v>60934</v>
      </c>
      <c r="C699" s="67">
        <f t="shared" ca="1" si="43"/>
        <v>0.01</v>
      </c>
      <c r="D699" s="103">
        <f t="shared" ca="1" si="44"/>
        <v>5668347</v>
      </c>
      <c r="E699" s="67">
        <f t="shared" ca="1" si="45"/>
        <v>0.01</v>
      </c>
      <c r="F699" s="21"/>
    </row>
    <row r="700" spans="1:6" x14ac:dyDescent="0.3">
      <c r="A700" s="34">
        <v>696</v>
      </c>
      <c r="B700" s="103">
        <f t="shared" ca="1" si="46"/>
        <v>59279</v>
      </c>
      <c r="C700" s="67">
        <f t="shared" ca="1" si="43"/>
        <v>-0.02</v>
      </c>
      <c r="D700" s="103">
        <f t="shared" ca="1" si="44"/>
        <v>5708672</v>
      </c>
      <c r="E700" s="67">
        <f t="shared" ca="1" si="45"/>
        <v>0.01</v>
      </c>
      <c r="F700" s="21"/>
    </row>
    <row r="701" spans="1:6" x14ac:dyDescent="0.3">
      <c r="A701" s="34">
        <v>697</v>
      </c>
      <c r="B701" s="103">
        <f t="shared" ca="1" si="46"/>
        <v>60944</v>
      </c>
      <c r="C701" s="67">
        <f t="shared" ca="1" si="43"/>
        <v>0.01</v>
      </c>
      <c r="D701" s="103">
        <f t="shared" ca="1" si="44"/>
        <v>5585393</v>
      </c>
      <c r="E701" s="67">
        <f t="shared" ca="1" si="45"/>
        <v>-0.01</v>
      </c>
      <c r="F701" s="21"/>
    </row>
    <row r="702" spans="1:6" x14ac:dyDescent="0.3">
      <c r="A702" s="34">
        <v>698</v>
      </c>
      <c r="B702" s="103">
        <f t="shared" ca="1" si="46"/>
        <v>60113</v>
      </c>
      <c r="C702" s="67">
        <f t="shared" ca="1" si="43"/>
        <v>0</v>
      </c>
      <c r="D702" s="103">
        <f t="shared" ca="1" si="44"/>
        <v>5467279</v>
      </c>
      <c r="E702" s="67">
        <f t="shared" ca="1" si="45"/>
        <v>-0.03</v>
      </c>
      <c r="F702" s="21"/>
    </row>
    <row r="703" spans="1:6" x14ac:dyDescent="0.3">
      <c r="A703" s="34">
        <v>699</v>
      </c>
      <c r="B703" s="103">
        <f t="shared" ca="1" si="46"/>
        <v>62971</v>
      </c>
      <c r="C703" s="67">
        <f t="shared" ca="1" si="43"/>
        <v>0.04</v>
      </c>
      <c r="D703" s="103">
        <f t="shared" ca="1" si="44"/>
        <v>5342948</v>
      </c>
      <c r="E703" s="67">
        <f t="shared" ca="1" si="45"/>
        <v>-0.05</v>
      </c>
      <c r="F703" s="21"/>
    </row>
    <row r="704" spans="1:6" x14ac:dyDescent="0.3">
      <c r="A704" s="34">
        <v>700</v>
      </c>
      <c r="B704" s="103">
        <f t="shared" ca="1" si="46"/>
        <v>60537</v>
      </c>
      <c r="C704" s="67">
        <f t="shared" ca="1" si="43"/>
        <v>0</v>
      </c>
      <c r="D704" s="103">
        <f t="shared" ca="1" si="44"/>
        <v>5378627</v>
      </c>
      <c r="E704" s="67">
        <f t="shared" ca="1" si="45"/>
        <v>-0.05</v>
      </c>
      <c r="F704" s="21"/>
    </row>
    <row r="705" spans="1:6" x14ac:dyDescent="0.3">
      <c r="A705" s="34">
        <v>701</v>
      </c>
      <c r="B705" s="103">
        <f t="shared" ca="1" si="46"/>
        <v>59636</v>
      </c>
      <c r="C705" s="67">
        <f t="shared" ca="1" si="43"/>
        <v>-0.01</v>
      </c>
      <c r="D705" s="103">
        <f t="shared" ca="1" si="44"/>
        <v>5422671</v>
      </c>
      <c r="E705" s="67">
        <f t="shared" ca="1" si="45"/>
        <v>-0.04</v>
      </c>
      <c r="F705" s="21"/>
    </row>
    <row r="706" spans="1:6" x14ac:dyDescent="0.3">
      <c r="A706" s="34">
        <v>702</v>
      </c>
      <c r="B706" s="103">
        <f t="shared" ca="1" si="46"/>
        <v>58248</v>
      </c>
      <c r="C706" s="67">
        <f t="shared" ca="1" si="43"/>
        <v>-0.03</v>
      </c>
      <c r="D706" s="103">
        <f t="shared" ca="1" si="44"/>
        <v>5793776</v>
      </c>
      <c r="E706" s="67">
        <f t="shared" ca="1" si="45"/>
        <v>0.03</v>
      </c>
      <c r="F706" s="21"/>
    </row>
    <row r="707" spans="1:6" x14ac:dyDescent="0.3">
      <c r="A707" s="34">
        <v>703</v>
      </c>
      <c r="B707" s="103">
        <f t="shared" ca="1" si="46"/>
        <v>61583</v>
      </c>
      <c r="C707" s="67">
        <f t="shared" ca="1" si="43"/>
        <v>0.02</v>
      </c>
      <c r="D707" s="103">
        <f t="shared" ca="1" si="44"/>
        <v>5778758</v>
      </c>
      <c r="E707" s="67">
        <f t="shared" ca="1" si="45"/>
        <v>0.03</v>
      </c>
      <c r="F707" s="21"/>
    </row>
    <row r="708" spans="1:6" x14ac:dyDescent="0.3">
      <c r="A708" s="34">
        <v>704</v>
      </c>
      <c r="B708" s="103">
        <f t="shared" ca="1" si="46"/>
        <v>61687</v>
      </c>
      <c r="C708" s="67">
        <f t="shared" ca="1" si="43"/>
        <v>0.02</v>
      </c>
      <c r="D708" s="103">
        <f t="shared" ca="1" si="44"/>
        <v>5340449</v>
      </c>
      <c r="E708" s="67">
        <f t="shared" ca="1" si="45"/>
        <v>-0.05</v>
      </c>
      <c r="F708" s="21"/>
    </row>
    <row r="709" spans="1:6" x14ac:dyDescent="0.3">
      <c r="A709" s="34">
        <v>705</v>
      </c>
      <c r="B709" s="103">
        <f t="shared" ca="1" si="46"/>
        <v>60381</v>
      </c>
      <c r="C709" s="67">
        <f t="shared" ref="C709:C772" ca="1" si="47">_xlfn.XLOOKUP(B709,selling_price_range,Range,"",-1)</f>
        <v>0</v>
      </c>
      <c r="D709" s="103">
        <f t="shared" ref="D709:D772" ca="1" si="48">RANDBETWEEN($P$5*(1+$G$5),$P$5*(1+$G$15))</f>
        <v>5676384</v>
      </c>
      <c r="E709" s="67">
        <f t="shared" ref="E709:E772" ca="1" si="49">_xlfn.XLOOKUP(D709,expenses_range,Range,"",-1)</f>
        <v>0.01</v>
      </c>
      <c r="F709" s="21"/>
    </row>
    <row r="710" spans="1:6" x14ac:dyDescent="0.3">
      <c r="A710" s="34">
        <v>706</v>
      </c>
      <c r="B710" s="103">
        <f t="shared" ref="B710:B773" ca="1" si="50">RANDBETWEEN($P$4*(1+$G$5),$P$4*(1+$G$15))</f>
        <v>61520</v>
      </c>
      <c r="C710" s="67">
        <f t="shared" ca="1" si="47"/>
        <v>0.02</v>
      </c>
      <c r="D710" s="103">
        <f t="shared" ca="1" si="48"/>
        <v>5695328</v>
      </c>
      <c r="E710" s="67">
        <f t="shared" ca="1" si="49"/>
        <v>0.01</v>
      </c>
      <c r="F710" s="21"/>
    </row>
    <row r="711" spans="1:6" x14ac:dyDescent="0.3">
      <c r="A711" s="34">
        <v>707</v>
      </c>
      <c r="B711" s="103">
        <f t="shared" ca="1" si="50"/>
        <v>59918</v>
      </c>
      <c r="C711" s="67">
        <f t="shared" ca="1" si="47"/>
        <v>-0.01</v>
      </c>
      <c r="D711" s="103">
        <f t="shared" ca="1" si="48"/>
        <v>5814388</v>
      </c>
      <c r="E711" s="67">
        <f t="shared" ca="1" si="49"/>
        <v>0.03</v>
      </c>
      <c r="F711" s="21"/>
    </row>
    <row r="712" spans="1:6" x14ac:dyDescent="0.3">
      <c r="A712" s="34">
        <v>708</v>
      </c>
      <c r="B712" s="103">
        <f t="shared" ca="1" si="50"/>
        <v>62720</v>
      </c>
      <c r="C712" s="67">
        <f t="shared" ca="1" si="47"/>
        <v>0.04</v>
      </c>
      <c r="D712" s="103">
        <f t="shared" ca="1" si="48"/>
        <v>5465898</v>
      </c>
      <c r="E712" s="67">
        <f t="shared" ca="1" si="49"/>
        <v>-0.03</v>
      </c>
      <c r="F712" s="21"/>
    </row>
    <row r="713" spans="1:6" x14ac:dyDescent="0.3">
      <c r="A713" s="34">
        <v>709</v>
      </c>
      <c r="B713" s="103">
        <f t="shared" ca="1" si="50"/>
        <v>60479</v>
      </c>
      <c r="C713" s="67">
        <f t="shared" ca="1" si="47"/>
        <v>0</v>
      </c>
      <c r="D713" s="103">
        <f t="shared" ca="1" si="48"/>
        <v>5754525</v>
      </c>
      <c r="E713" s="67">
        <f t="shared" ca="1" si="49"/>
        <v>0.02</v>
      </c>
      <c r="F713" s="21"/>
    </row>
    <row r="714" spans="1:6" x14ac:dyDescent="0.3">
      <c r="A714" s="34">
        <v>710</v>
      </c>
      <c r="B714" s="103">
        <f t="shared" ca="1" si="50"/>
        <v>60422</v>
      </c>
      <c r="C714" s="67">
        <f t="shared" ca="1" si="47"/>
        <v>0</v>
      </c>
      <c r="D714" s="103">
        <f t="shared" ca="1" si="48"/>
        <v>5534509</v>
      </c>
      <c r="E714" s="67">
        <f t="shared" ca="1" si="49"/>
        <v>-0.02</v>
      </c>
      <c r="F714" s="21"/>
    </row>
    <row r="715" spans="1:6" x14ac:dyDescent="0.3">
      <c r="A715" s="34">
        <v>711</v>
      </c>
      <c r="B715" s="103">
        <f t="shared" ca="1" si="50"/>
        <v>62971</v>
      </c>
      <c r="C715" s="67">
        <f t="shared" ca="1" si="47"/>
        <v>0.04</v>
      </c>
      <c r="D715" s="103">
        <f t="shared" ca="1" si="48"/>
        <v>5678782</v>
      </c>
      <c r="E715" s="67">
        <f t="shared" ca="1" si="49"/>
        <v>0.01</v>
      </c>
      <c r="F715" s="21"/>
    </row>
    <row r="716" spans="1:6" x14ac:dyDescent="0.3">
      <c r="A716" s="34">
        <v>712</v>
      </c>
      <c r="B716" s="103">
        <f t="shared" ca="1" si="50"/>
        <v>60867</v>
      </c>
      <c r="C716" s="67">
        <f t="shared" ca="1" si="47"/>
        <v>0.01</v>
      </c>
      <c r="D716" s="103">
        <f t="shared" ca="1" si="48"/>
        <v>5613526</v>
      </c>
      <c r="E716" s="67">
        <f t="shared" ca="1" si="49"/>
        <v>0</v>
      </c>
      <c r="F716" s="21"/>
    </row>
    <row r="717" spans="1:6" x14ac:dyDescent="0.3">
      <c r="A717" s="34">
        <v>713</v>
      </c>
      <c r="B717" s="103">
        <f t="shared" ca="1" si="50"/>
        <v>61021</v>
      </c>
      <c r="C717" s="67">
        <f t="shared" ca="1" si="47"/>
        <v>0.01</v>
      </c>
      <c r="D717" s="103">
        <f t="shared" ca="1" si="48"/>
        <v>5374882</v>
      </c>
      <c r="E717" s="67">
        <f t="shared" ca="1" si="49"/>
        <v>-0.05</v>
      </c>
      <c r="F717" s="21"/>
    </row>
    <row r="718" spans="1:6" x14ac:dyDescent="0.3">
      <c r="A718" s="34">
        <v>714</v>
      </c>
      <c r="B718" s="103">
        <f t="shared" ca="1" si="50"/>
        <v>61337</v>
      </c>
      <c r="C718" s="67">
        <f t="shared" ca="1" si="47"/>
        <v>0.02</v>
      </c>
      <c r="D718" s="103">
        <f t="shared" ca="1" si="48"/>
        <v>5550269</v>
      </c>
      <c r="E718" s="67">
        <f t="shared" ca="1" si="49"/>
        <v>-0.01</v>
      </c>
      <c r="F718" s="21"/>
    </row>
    <row r="719" spans="1:6" x14ac:dyDescent="0.3">
      <c r="A719" s="34">
        <v>715</v>
      </c>
      <c r="B719" s="103">
        <f t="shared" ca="1" si="50"/>
        <v>57650</v>
      </c>
      <c r="C719" s="67">
        <f t="shared" ca="1" si="47"/>
        <v>-0.04</v>
      </c>
      <c r="D719" s="103">
        <f t="shared" ca="1" si="48"/>
        <v>5604392</v>
      </c>
      <c r="E719" s="67">
        <f t="shared" ca="1" si="49"/>
        <v>-0.01</v>
      </c>
      <c r="F719" s="21"/>
    </row>
    <row r="720" spans="1:6" x14ac:dyDescent="0.3">
      <c r="A720" s="34">
        <v>716</v>
      </c>
      <c r="B720" s="103">
        <f t="shared" ca="1" si="50"/>
        <v>61822</v>
      </c>
      <c r="C720" s="67">
        <f t="shared" ca="1" si="47"/>
        <v>0.03</v>
      </c>
      <c r="D720" s="103">
        <f t="shared" ca="1" si="48"/>
        <v>5790194</v>
      </c>
      <c r="E720" s="67">
        <f t="shared" ca="1" si="49"/>
        <v>0.03</v>
      </c>
      <c r="F720" s="21"/>
    </row>
    <row r="721" spans="1:6" x14ac:dyDescent="0.3">
      <c r="A721" s="34">
        <v>717</v>
      </c>
      <c r="B721" s="103">
        <f t="shared" ca="1" si="50"/>
        <v>58720</v>
      </c>
      <c r="C721" s="67">
        <f t="shared" ca="1" si="47"/>
        <v>-0.03</v>
      </c>
      <c r="D721" s="103">
        <f t="shared" ca="1" si="48"/>
        <v>5619155</v>
      </c>
      <c r="E721" s="67">
        <f t="shared" ca="1" si="49"/>
        <v>0</v>
      </c>
      <c r="F721" s="21"/>
    </row>
    <row r="722" spans="1:6" x14ac:dyDescent="0.3">
      <c r="A722" s="34">
        <v>718</v>
      </c>
      <c r="B722" s="103">
        <f t="shared" ca="1" si="50"/>
        <v>57828</v>
      </c>
      <c r="C722" s="67">
        <f t="shared" ca="1" si="47"/>
        <v>-0.04</v>
      </c>
      <c r="D722" s="103">
        <f t="shared" ca="1" si="48"/>
        <v>5340677</v>
      </c>
      <c r="E722" s="67">
        <f t="shared" ca="1" si="49"/>
        <v>-0.05</v>
      </c>
      <c r="F722" s="21"/>
    </row>
    <row r="723" spans="1:6" x14ac:dyDescent="0.3">
      <c r="A723" s="34">
        <v>719</v>
      </c>
      <c r="B723" s="103">
        <f t="shared" ca="1" si="50"/>
        <v>62674</v>
      </c>
      <c r="C723" s="67">
        <f t="shared" ca="1" si="47"/>
        <v>0.04</v>
      </c>
      <c r="D723" s="103">
        <f t="shared" ca="1" si="48"/>
        <v>5357953</v>
      </c>
      <c r="E723" s="67">
        <f t="shared" ca="1" si="49"/>
        <v>-0.05</v>
      </c>
      <c r="F723" s="21"/>
    </row>
    <row r="724" spans="1:6" x14ac:dyDescent="0.3">
      <c r="A724" s="34">
        <v>720</v>
      </c>
      <c r="B724" s="103">
        <f t="shared" ca="1" si="50"/>
        <v>60878</v>
      </c>
      <c r="C724" s="67">
        <f t="shared" ca="1" si="47"/>
        <v>0.01</v>
      </c>
      <c r="D724" s="103">
        <f t="shared" ca="1" si="48"/>
        <v>5488222</v>
      </c>
      <c r="E724" s="67">
        <f t="shared" ca="1" si="49"/>
        <v>-0.03</v>
      </c>
      <c r="F724" s="21"/>
    </row>
    <row r="725" spans="1:6" x14ac:dyDescent="0.3">
      <c r="A725" s="34">
        <v>721</v>
      </c>
      <c r="B725" s="103">
        <f t="shared" ca="1" si="50"/>
        <v>59150</v>
      </c>
      <c r="C725" s="67">
        <f t="shared" ca="1" si="47"/>
        <v>-0.02</v>
      </c>
      <c r="D725" s="103">
        <f t="shared" ca="1" si="48"/>
        <v>5542997</v>
      </c>
      <c r="E725" s="67">
        <f t="shared" ca="1" si="49"/>
        <v>-0.02</v>
      </c>
      <c r="F725" s="21"/>
    </row>
    <row r="726" spans="1:6" x14ac:dyDescent="0.3">
      <c r="A726" s="34">
        <v>722</v>
      </c>
      <c r="B726" s="103">
        <f t="shared" ca="1" si="50"/>
        <v>59334</v>
      </c>
      <c r="C726" s="67">
        <f t="shared" ca="1" si="47"/>
        <v>-0.02</v>
      </c>
      <c r="D726" s="103">
        <f t="shared" ca="1" si="48"/>
        <v>5362660</v>
      </c>
      <c r="E726" s="67">
        <f t="shared" ca="1" si="49"/>
        <v>-0.05</v>
      </c>
      <c r="F726" s="21"/>
    </row>
    <row r="727" spans="1:6" x14ac:dyDescent="0.3">
      <c r="A727" s="34">
        <v>723</v>
      </c>
      <c r="B727" s="103">
        <f t="shared" ca="1" si="50"/>
        <v>60942</v>
      </c>
      <c r="C727" s="67">
        <f t="shared" ca="1" si="47"/>
        <v>0.01</v>
      </c>
      <c r="D727" s="103">
        <f t="shared" ca="1" si="48"/>
        <v>5689326</v>
      </c>
      <c r="E727" s="67">
        <f t="shared" ca="1" si="49"/>
        <v>0.01</v>
      </c>
      <c r="F727" s="21"/>
    </row>
    <row r="728" spans="1:6" x14ac:dyDescent="0.3">
      <c r="A728" s="34">
        <v>724</v>
      </c>
      <c r="B728" s="103">
        <f t="shared" ca="1" si="50"/>
        <v>60938</v>
      </c>
      <c r="C728" s="67">
        <f t="shared" ca="1" si="47"/>
        <v>0.01</v>
      </c>
      <c r="D728" s="103">
        <f t="shared" ca="1" si="48"/>
        <v>5453371</v>
      </c>
      <c r="E728" s="67">
        <f t="shared" ca="1" si="49"/>
        <v>-0.03</v>
      </c>
      <c r="F728" s="21"/>
    </row>
    <row r="729" spans="1:6" x14ac:dyDescent="0.3">
      <c r="A729" s="34">
        <v>725</v>
      </c>
      <c r="B729" s="103">
        <f t="shared" ca="1" si="50"/>
        <v>60850</v>
      </c>
      <c r="C729" s="67">
        <f t="shared" ca="1" si="47"/>
        <v>0.01</v>
      </c>
      <c r="D729" s="103">
        <f t="shared" ca="1" si="48"/>
        <v>5604205</v>
      </c>
      <c r="E729" s="67">
        <f t="shared" ca="1" si="49"/>
        <v>-0.01</v>
      </c>
      <c r="F729" s="21"/>
    </row>
    <row r="730" spans="1:6" x14ac:dyDescent="0.3">
      <c r="A730" s="34">
        <v>726</v>
      </c>
      <c r="B730" s="103">
        <f t="shared" ca="1" si="50"/>
        <v>61769</v>
      </c>
      <c r="C730" s="67">
        <f t="shared" ca="1" si="47"/>
        <v>0.02</v>
      </c>
      <c r="D730" s="103">
        <f t="shared" ca="1" si="48"/>
        <v>5585264</v>
      </c>
      <c r="E730" s="67">
        <f t="shared" ca="1" si="49"/>
        <v>-0.01</v>
      </c>
      <c r="F730" s="21"/>
    </row>
    <row r="731" spans="1:6" x14ac:dyDescent="0.3">
      <c r="A731" s="34">
        <v>727</v>
      </c>
      <c r="B731" s="103">
        <f t="shared" ca="1" si="50"/>
        <v>59810</v>
      </c>
      <c r="C731" s="67">
        <f t="shared" ca="1" si="47"/>
        <v>-0.01</v>
      </c>
      <c r="D731" s="103">
        <f t="shared" ca="1" si="48"/>
        <v>5621362</v>
      </c>
      <c r="E731" s="67">
        <f t="shared" ca="1" si="49"/>
        <v>0</v>
      </c>
      <c r="F731" s="21"/>
    </row>
    <row r="732" spans="1:6" x14ac:dyDescent="0.3">
      <c r="A732" s="34">
        <v>728</v>
      </c>
      <c r="B732" s="103">
        <f t="shared" ca="1" si="50"/>
        <v>57319</v>
      </c>
      <c r="C732" s="67">
        <f t="shared" ca="1" si="47"/>
        <v>-0.05</v>
      </c>
      <c r="D732" s="103">
        <f t="shared" ca="1" si="48"/>
        <v>5449993</v>
      </c>
      <c r="E732" s="67">
        <f t="shared" ca="1" si="49"/>
        <v>-0.03</v>
      </c>
      <c r="F732" s="21"/>
    </row>
    <row r="733" spans="1:6" x14ac:dyDescent="0.3">
      <c r="A733" s="34">
        <v>729</v>
      </c>
      <c r="B733" s="103">
        <f t="shared" ca="1" si="50"/>
        <v>60535</v>
      </c>
      <c r="C733" s="67">
        <f t="shared" ca="1" si="47"/>
        <v>0</v>
      </c>
      <c r="D733" s="103">
        <f t="shared" ca="1" si="48"/>
        <v>5515759</v>
      </c>
      <c r="E733" s="67">
        <f t="shared" ca="1" si="49"/>
        <v>-0.02</v>
      </c>
      <c r="F733" s="21"/>
    </row>
    <row r="734" spans="1:6" x14ac:dyDescent="0.3">
      <c r="A734" s="34">
        <v>730</v>
      </c>
      <c r="B734" s="103">
        <f t="shared" ca="1" si="50"/>
        <v>61774</v>
      </c>
      <c r="C734" s="67">
        <f t="shared" ca="1" si="47"/>
        <v>0.02</v>
      </c>
      <c r="D734" s="103">
        <f t="shared" ca="1" si="48"/>
        <v>5735984</v>
      </c>
      <c r="E734" s="67">
        <f t="shared" ca="1" si="49"/>
        <v>0.02</v>
      </c>
      <c r="F734" s="21"/>
    </row>
    <row r="735" spans="1:6" x14ac:dyDescent="0.3">
      <c r="A735" s="34">
        <v>731</v>
      </c>
      <c r="B735" s="103">
        <f t="shared" ca="1" si="50"/>
        <v>60795</v>
      </c>
      <c r="C735" s="67">
        <f t="shared" ca="1" si="47"/>
        <v>0.01</v>
      </c>
      <c r="D735" s="103">
        <f t="shared" ca="1" si="48"/>
        <v>5668802</v>
      </c>
      <c r="E735" s="67">
        <f t="shared" ca="1" si="49"/>
        <v>0.01</v>
      </c>
      <c r="F735" s="21"/>
    </row>
    <row r="736" spans="1:6" x14ac:dyDescent="0.3">
      <c r="A736" s="34">
        <v>732</v>
      </c>
      <c r="B736" s="103">
        <f t="shared" ca="1" si="50"/>
        <v>57267</v>
      </c>
      <c r="C736" s="67">
        <f t="shared" ca="1" si="47"/>
        <v>-0.05</v>
      </c>
      <c r="D736" s="103">
        <f t="shared" ca="1" si="48"/>
        <v>5746354</v>
      </c>
      <c r="E736" s="67">
        <f t="shared" ca="1" si="49"/>
        <v>0.02</v>
      </c>
      <c r="F736" s="21"/>
    </row>
    <row r="737" spans="1:6" x14ac:dyDescent="0.3">
      <c r="A737" s="34">
        <v>733</v>
      </c>
      <c r="B737" s="103">
        <f t="shared" ca="1" si="50"/>
        <v>57540</v>
      </c>
      <c r="C737" s="67">
        <f t="shared" ca="1" si="47"/>
        <v>-0.05</v>
      </c>
      <c r="D737" s="103">
        <f t="shared" ca="1" si="48"/>
        <v>5491324</v>
      </c>
      <c r="E737" s="67">
        <f t="shared" ca="1" si="49"/>
        <v>-0.03</v>
      </c>
      <c r="F737" s="21"/>
    </row>
    <row r="738" spans="1:6" x14ac:dyDescent="0.3">
      <c r="A738" s="34">
        <v>734</v>
      </c>
      <c r="B738" s="103">
        <f t="shared" ca="1" si="50"/>
        <v>61378</v>
      </c>
      <c r="C738" s="67">
        <f t="shared" ca="1" si="47"/>
        <v>0.02</v>
      </c>
      <c r="D738" s="103">
        <f t="shared" ca="1" si="48"/>
        <v>5575036</v>
      </c>
      <c r="E738" s="67">
        <f t="shared" ca="1" si="49"/>
        <v>-0.01</v>
      </c>
      <c r="F738" s="21"/>
    </row>
    <row r="739" spans="1:6" x14ac:dyDescent="0.3">
      <c r="A739" s="34">
        <v>735</v>
      </c>
      <c r="B739" s="103">
        <f t="shared" ca="1" si="50"/>
        <v>62429</v>
      </c>
      <c r="C739" s="67">
        <f t="shared" ca="1" si="47"/>
        <v>0.04</v>
      </c>
      <c r="D739" s="103">
        <f t="shared" ca="1" si="48"/>
        <v>5400472</v>
      </c>
      <c r="E739" s="67">
        <f t="shared" ca="1" si="49"/>
        <v>-0.04</v>
      </c>
      <c r="F739" s="21"/>
    </row>
    <row r="740" spans="1:6" x14ac:dyDescent="0.3">
      <c r="A740" s="34">
        <v>736</v>
      </c>
      <c r="B740" s="103">
        <f t="shared" ca="1" si="50"/>
        <v>60922</v>
      </c>
      <c r="C740" s="67">
        <f t="shared" ca="1" si="47"/>
        <v>0.01</v>
      </c>
      <c r="D740" s="103">
        <f t="shared" ca="1" si="48"/>
        <v>5860803</v>
      </c>
      <c r="E740" s="67">
        <f t="shared" ca="1" si="49"/>
        <v>0.04</v>
      </c>
      <c r="F740" s="21"/>
    </row>
    <row r="741" spans="1:6" x14ac:dyDescent="0.3">
      <c r="A741" s="34">
        <v>737</v>
      </c>
      <c r="B741" s="103">
        <f t="shared" ca="1" si="50"/>
        <v>61338</v>
      </c>
      <c r="C741" s="67">
        <f t="shared" ca="1" si="47"/>
        <v>0.02</v>
      </c>
      <c r="D741" s="103">
        <f t="shared" ca="1" si="48"/>
        <v>5680745</v>
      </c>
      <c r="E741" s="67">
        <f t="shared" ca="1" si="49"/>
        <v>0.01</v>
      </c>
      <c r="F741" s="21"/>
    </row>
    <row r="742" spans="1:6" x14ac:dyDescent="0.3">
      <c r="A742" s="34">
        <v>738</v>
      </c>
      <c r="B742" s="103">
        <f t="shared" ca="1" si="50"/>
        <v>58210</v>
      </c>
      <c r="C742" s="67">
        <f t="shared" ca="1" si="47"/>
        <v>-0.03</v>
      </c>
      <c r="D742" s="103">
        <f t="shared" ca="1" si="48"/>
        <v>5603997</v>
      </c>
      <c r="E742" s="67">
        <f t="shared" ca="1" si="49"/>
        <v>-0.01</v>
      </c>
      <c r="F742" s="21"/>
    </row>
    <row r="743" spans="1:6" x14ac:dyDescent="0.3">
      <c r="A743" s="34">
        <v>739</v>
      </c>
      <c r="B743" s="103">
        <f t="shared" ca="1" si="50"/>
        <v>58435</v>
      </c>
      <c r="C743" s="67">
        <f t="shared" ca="1" si="47"/>
        <v>-0.03</v>
      </c>
      <c r="D743" s="103">
        <f t="shared" ca="1" si="48"/>
        <v>5827984</v>
      </c>
      <c r="E743" s="67">
        <f t="shared" ca="1" si="49"/>
        <v>0.03</v>
      </c>
      <c r="F743" s="21"/>
    </row>
    <row r="744" spans="1:6" x14ac:dyDescent="0.3">
      <c r="A744" s="34">
        <v>740</v>
      </c>
      <c r="B744" s="103">
        <f t="shared" ca="1" si="50"/>
        <v>60066</v>
      </c>
      <c r="C744" s="67">
        <f t="shared" ca="1" si="47"/>
        <v>0</v>
      </c>
      <c r="D744" s="103">
        <f t="shared" ca="1" si="48"/>
        <v>5783606</v>
      </c>
      <c r="E744" s="67">
        <f t="shared" ca="1" si="49"/>
        <v>0.03</v>
      </c>
      <c r="F744" s="21"/>
    </row>
    <row r="745" spans="1:6" x14ac:dyDescent="0.3">
      <c r="A745" s="34">
        <v>741</v>
      </c>
      <c r="B745" s="103">
        <f t="shared" ca="1" si="50"/>
        <v>61520</v>
      </c>
      <c r="C745" s="67">
        <f t="shared" ca="1" si="47"/>
        <v>0.02</v>
      </c>
      <c r="D745" s="103">
        <f t="shared" ca="1" si="48"/>
        <v>5411661</v>
      </c>
      <c r="E745" s="67">
        <f t="shared" ca="1" si="49"/>
        <v>-0.04</v>
      </c>
      <c r="F745" s="21"/>
    </row>
    <row r="746" spans="1:6" x14ac:dyDescent="0.3">
      <c r="A746" s="34">
        <v>742</v>
      </c>
      <c r="B746" s="103">
        <f t="shared" ca="1" si="50"/>
        <v>61718</v>
      </c>
      <c r="C746" s="67">
        <f t="shared" ca="1" si="47"/>
        <v>0.02</v>
      </c>
      <c r="D746" s="103">
        <f t="shared" ca="1" si="48"/>
        <v>5679156</v>
      </c>
      <c r="E746" s="67">
        <f t="shared" ca="1" si="49"/>
        <v>0.01</v>
      </c>
      <c r="F746" s="21"/>
    </row>
    <row r="747" spans="1:6" x14ac:dyDescent="0.3">
      <c r="A747" s="34">
        <v>743</v>
      </c>
      <c r="B747" s="103">
        <f t="shared" ca="1" si="50"/>
        <v>61919</v>
      </c>
      <c r="C747" s="67">
        <f t="shared" ca="1" si="47"/>
        <v>0.03</v>
      </c>
      <c r="D747" s="103">
        <f t="shared" ca="1" si="48"/>
        <v>5657784</v>
      </c>
      <c r="E747" s="67">
        <f t="shared" ca="1" si="49"/>
        <v>0</v>
      </c>
      <c r="F747" s="21"/>
    </row>
    <row r="748" spans="1:6" x14ac:dyDescent="0.3">
      <c r="A748" s="34">
        <v>744</v>
      </c>
      <c r="B748" s="103">
        <f t="shared" ca="1" si="50"/>
        <v>57900</v>
      </c>
      <c r="C748" s="67">
        <f t="shared" ca="1" si="47"/>
        <v>-0.04</v>
      </c>
      <c r="D748" s="103">
        <f t="shared" ca="1" si="48"/>
        <v>5513052</v>
      </c>
      <c r="E748" s="67">
        <f t="shared" ca="1" si="49"/>
        <v>-0.02</v>
      </c>
      <c r="F748" s="21"/>
    </row>
    <row r="749" spans="1:6" x14ac:dyDescent="0.3">
      <c r="A749" s="34">
        <v>745</v>
      </c>
      <c r="B749" s="103">
        <f t="shared" ca="1" si="50"/>
        <v>62391</v>
      </c>
      <c r="C749" s="67">
        <f t="shared" ca="1" si="47"/>
        <v>0.03</v>
      </c>
      <c r="D749" s="103">
        <f t="shared" ca="1" si="48"/>
        <v>5594498</v>
      </c>
      <c r="E749" s="67">
        <f t="shared" ca="1" si="49"/>
        <v>-0.01</v>
      </c>
      <c r="F749" s="21"/>
    </row>
    <row r="750" spans="1:6" x14ac:dyDescent="0.3">
      <c r="A750" s="34">
        <v>746</v>
      </c>
      <c r="B750" s="103">
        <f t="shared" ca="1" si="50"/>
        <v>61501</v>
      </c>
      <c r="C750" s="67">
        <f t="shared" ca="1" si="47"/>
        <v>0.02</v>
      </c>
      <c r="D750" s="103">
        <f t="shared" ca="1" si="48"/>
        <v>5670404</v>
      </c>
      <c r="E750" s="67">
        <f t="shared" ca="1" si="49"/>
        <v>0.01</v>
      </c>
      <c r="F750" s="21"/>
    </row>
    <row r="751" spans="1:6" x14ac:dyDescent="0.3">
      <c r="A751" s="34">
        <v>747</v>
      </c>
      <c r="B751" s="103">
        <f t="shared" ca="1" si="50"/>
        <v>62091</v>
      </c>
      <c r="C751" s="67">
        <f t="shared" ca="1" si="47"/>
        <v>0.03</v>
      </c>
      <c r="D751" s="103">
        <f t="shared" ca="1" si="48"/>
        <v>5633418</v>
      </c>
      <c r="E751" s="67">
        <f t="shared" ca="1" si="49"/>
        <v>0</v>
      </c>
      <c r="F751" s="21"/>
    </row>
    <row r="752" spans="1:6" x14ac:dyDescent="0.3">
      <c r="A752" s="34">
        <v>748</v>
      </c>
      <c r="B752" s="103">
        <f t="shared" ca="1" si="50"/>
        <v>59669</v>
      </c>
      <c r="C752" s="67">
        <f t="shared" ca="1" si="47"/>
        <v>-0.01</v>
      </c>
      <c r="D752" s="103">
        <f t="shared" ca="1" si="48"/>
        <v>5707761</v>
      </c>
      <c r="E752" s="67">
        <f t="shared" ca="1" si="49"/>
        <v>0.01</v>
      </c>
      <c r="F752" s="21"/>
    </row>
    <row r="753" spans="1:6" x14ac:dyDescent="0.3">
      <c r="A753" s="34">
        <v>749</v>
      </c>
      <c r="B753" s="103">
        <f t="shared" ca="1" si="50"/>
        <v>60986</v>
      </c>
      <c r="C753" s="67">
        <f t="shared" ca="1" si="47"/>
        <v>0.01</v>
      </c>
      <c r="D753" s="103">
        <f t="shared" ca="1" si="48"/>
        <v>5535852</v>
      </c>
      <c r="E753" s="67">
        <f t="shared" ca="1" si="49"/>
        <v>-0.02</v>
      </c>
      <c r="F753" s="21"/>
    </row>
    <row r="754" spans="1:6" x14ac:dyDescent="0.3">
      <c r="A754" s="34">
        <v>750</v>
      </c>
      <c r="B754" s="103">
        <f t="shared" ca="1" si="50"/>
        <v>60798</v>
      </c>
      <c r="C754" s="67">
        <f t="shared" ca="1" si="47"/>
        <v>0.01</v>
      </c>
      <c r="D754" s="103">
        <f t="shared" ca="1" si="48"/>
        <v>5611549</v>
      </c>
      <c r="E754" s="67">
        <f t="shared" ca="1" si="49"/>
        <v>0</v>
      </c>
      <c r="F754" s="21"/>
    </row>
    <row r="755" spans="1:6" x14ac:dyDescent="0.3">
      <c r="A755" s="34">
        <v>751</v>
      </c>
      <c r="B755" s="103">
        <f t="shared" ca="1" si="50"/>
        <v>60038</v>
      </c>
      <c r="C755" s="67">
        <f t="shared" ca="1" si="47"/>
        <v>0</v>
      </c>
      <c r="D755" s="103">
        <f t="shared" ca="1" si="48"/>
        <v>5674077</v>
      </c>
      <c r="E755" s="67">
        <f t="shared" ca="1" si="49"/>
        <v>0.01</v>
      </c>
      <c r="F755" s="21"/>
    </row>
    <row r="756" spans="1:6" x14ac:dyDescent="0.3">
      <c r="A756" s="34">
        <v>752</v>
      </c>
      <c r="B756" s="103">
        <f t="shared" ca="1" si="50"/>
        <v>60820</v>
      </c>
      <c r="C756" s="67">
        <f t="shared" ca="1" si="47"/>
        <v>0.01</v>
      </c>
      <c r="D756" s="103">
        <f t="shared" ca="1" si="48"/>
        <v>5627611</v>
      </c>
      <c r="E756" s="67">
        <f t="shared" ca="1" si="49"/>
        <v>0</v>
      </c>
      <c r="F756" s="21"/>
    </row>
    <row r="757" spans="1:6" x14ac:dyDescent="0.3">
      <c r="A757" s="34">
        <v>753</v>
      </c>
      <c r="B757" s="103">
        <f t="shared" ca="1" si="50"/>
        <v>62907</v>
      </c>
      <c r="C757" s="67">
        <f t="shared" ca="1" si="47"/>
        <v>0.04</v>
      </c>
      <c r="D757" s="103">
        <f t="shared" ca="1" si="48"/>
        <v>5803290</v>
      </c>
      <c r="E757" s="67">
        <f t="shared" ca="1" si="49"/>
        <v>0.03</v>
      </c>
      <c r="F757" s="21"/>
    </row>
    <row r="758" spans="1:6" x14ac:dyDescent="0.3">
      <c r="A758" s="34">
        <v>754</v>
      </c>
      <c r="B758" s="103">
        <f t="shared" ca="1" si="50"/>
        <v>60660</v>
      </c>
      <c r="C758" s="67">
        <f t="shared" ca="1" si="47"/>
        <v>0.01</v>
      </c>
      <c r="D758" s="103">
        <f t="shared" ca="1" si="48"/>
        <v>5859831</v>
      </c>
      <c r="E758" s="67">
        <f t="shared" ca="1" si="49"/>
        <v>0.04</v>
      </c>
      <c r="F758" s="21"/>
    </row>
    <row r="759" spans="1:6" x14ac:dyDescent="0.3">
      <c r="A759" s="34">
        <v>755</v>
      </c>
      <c r="B759" s="103">
        <f t="shared" ca="1" si="50"/>
        <v>59445</v>
      </c>
      <c r="C759" s="67">
        <f t="shared" ca="1" si="47"/>
        <v>-0.01</v>
      </c>
      <c r="D759" s="103">
        <f t="shared" ca="1" si="48"/>
        <v>5360879</v>
      </c>
      <c r="E759" s="67">
        <f t="shared" ca="1" si="49"/>
        <v>-0.05</v>
      </c>
      <c r="F759" s="21"/>
    </row>
    <row r="760" spans="1:6" x14ac:dyDescent="0.3">
      <c r="A760" s="34">
        <v>756</v>
      </c>
      <c r="B760" s="103">
        <f t="shared" ca="1" si="50"/>
        <v>59181</v>
      </c>
      <c r="C760" s="67">
        <f t="shared" ca="1" si="47"/>
        <v>-0.02</v>
      </c>
      <c r="D760" s="103">
        <f t="shared" ca="1" si="48"/>
        <v>5324820</v>
      </c>
      <c r="E760" s="67">
        <f t="shared" ca="1" si="49"/>
        <v>-0.05</v>
      </c>
      <c r="F760" s="21"/>
    </row>
    <row r="761" spans="1:6" x14ac:dyDescent="0.3">
      <c r="A761" s="34">
        <v>757</v>
      </c>
      <c r="B761" s="103">
        <f t="shared" ca="1" si="50"/>
        <v>60769</v>
      </c>
      <c r="C761" s="67">
        <f t="shared" ca="1" si="47"/>
        <v>0.01</v>
      </c>
      <c r="D761" s="103">
        <f t="shared" ca="1" si="48"/>
        <v>5338291</v>
      </c>
      <c r="E761" s="67">
        <f t="shared" ca="1" si="49"/>
        <v>-0.05</v>
      </c>
      <c r="F761" s="21"/>
    </row>
    <row r="762" spans="1:6" x14ac:dyDescent="0.3">
      <c r="A762" s="34">
        <v>758</v>
      </c>
      <c r="B762" s="103">
        <f t="shared" ca="1" si="50"/>
        <v>58360</v>
      </c>
      <c r="C762" s="67">
        <f t="shared" ca="1" si="47"/>
        <v>-0.03</v>
      </c>
      <c r="D762" s="103">
        <f t="shared" ca="1" si="48"/>
        <v>5801286</v>
      </c>
      <c r="E762" s="67">
        <f t="shared" ca="1" si="49"/>
        <v>0.03</v>
      </c>
      <c r="F762" s="21"/>
    </row>
    <row r="763" spans="1:6" x14ac:dyDescent="0.3">
      <c r="A763" s="34">
        <v>759</v>
      </c>
      <c r="B763" s="103">
        <f t="shared" ca="1" si="50"/>
        <v>61594</v>
      </c>
      <c r="C763" s="67">
        <f t="shared" ca="1" si="47"/>
        <v>0.02</v>
      </c>
      <c r="D763" s="103">
        <f t="shared" ca="1" si="48"/>
        <v>5708220</v>
      </c>
      <c r="E763" s="67">
        <f t="shared" ca="1" si="49"/>
        <v>0.01</v>
      </c>
      <c r="F763" s="21"/>
    </row>
    <row r="764" spans="1:6" x14ac:dyDescent="0.3">
      <c r="A764" s="34">
        <v>760</v>
      </c>
      <c r="B764" s="103">
        <f t="shared" ca="1" si="50"/>
        <v>62937</v>
      </c>
      <c r="C764" s="67">
        <f t="shared" ca="1" si="47"/>
        <v>0.04</v>
      </c>
      <c r="D764" s="103">
        <f t="shared" ca="1" si="48"/>
        <v>5600463</v>
      </c>
      <c r="E764" s="67">
        <f t="shared" ca="1" si="49"/>
        <v>-0.01</v>
      </c>
      <c r="F764" s="21"/>
    </row>
    <row r="765" spans="1:6" x14ac:dyDescent="0.3">
      <c r="A765" s="34">
        <v>761</v>
      </c>
      <c r="B765" s="103">
        <f t="shared" ca="1" si="50"/>
        <v>57572</v>
      </c>
      <c r="C765" s="67">
        <f t="shared" ca="1" si="47"/>
        <v>-0.05</v>
      </c>
      <c r="D765" s="103">
        <f t="shared" ca="1" si="48"/>
        <v>5346927</v>
      </c>
      <c r="E765" s="67">
        <f t="shared" ca="1" si="49"/>
        <v>-0.05</v>
      </c>
      <c r="F765" s="21"/>
    </row>
    <row r="766" spans="1:6" x14ac:dyDescent="0.3">
      <c r="A766" s="34">
        <v>762</v>
      </c>
      <c r="B766" s="103">
        <f t="shared" ca="1" si="50"/>
        <v>59064</v>
      </c>
      <c r="C766" s="67">
        <f t="shared" ca="1" si="47"/>
        <v>-0.02</v>
      </c>
      <c r="D766" s="103">
        <f t="shared" ca="1" si="48"/>
        <v>5723725</v>
      </c>
      <c r="E766" s="67">
        <f t="shared" ca="1" si="49"/>
        <v>0.02</v>
      </c>
      <c r="F766" s="21"/>
    </row>
    <row r="767" spans="1:6" x14ac:dyDescent="0.3">
      <c r="A767" s="34">
        <v>763</v>
      </c>
      <c r="B767" s="103">
        <f t="shared" ca="1" si="50"/>
        <v>60490</v>
      </c>
      <c r="C767" s="67">
        <f t="shared" ca="1" si="47"/>
        <v>0</v>
      </c>
      <c r="D767" s="103">
        <f t="shared" ca="1" si="48"/>
        <v>5670664</v>
      </c>
      <c r="E767" s="67">
        <f t="shared" ca="1" si="49"/>
        <v>0.01</v>
      </c>
      <c r="F767" s="21"/>
    </row>
    <row r="768" spans="1:6" x14ac:dyDescent="0.3">
      <c r="A768" s="34">
        <v>764</v>
      </c>
      <c r="B768" s="103">
        <f t="shared" ca="1" si="50"/>
        <v>59554</v>
      </c>
      <c r="C768" s="67">
        <f t="shared" ca="1" si="47"/>
        <v>-0.01</v>
      </c>
      <c r="D768" s="103">
        <f t="shared" ca="1" si="48"/>
        <v>5604733</v>
      </c>
      <c r="E768" s="67">
        <f t="shared" ca="1" si="49"/>
        <v>0</v>
      </c>
      <c r="F768" s="21"/>
    </row>
    <row r="769" spans="1:6" x14ac:dyDescent="0.3">
      <c r="A769" s="34">
        <v>765</v>
      </c>
      <c r="B769" s="103">
        <f t="shared" ca="1" si="50"/>
        <v>57787</v>
      </c>
      <c r="C769" s="67">
        <f t="shared" ca="1" si="47"/>
        <v>-0.04</v>
      </c>
      <c r="D769" s="103">
        <f t="shared" ca="1" si="48"/>
        <v>5477361</v>
      </c>
      <c r="E769" s="67">
        <f t="shared" ca="1" si="49"/>
        <v>-0.03</v>
      </c>
      <c r="F769" s="21"/>
    </row>
    <row r="770" spans="1:6" x14ac:dyDescent="0.3">
      <c r="A770" s="34">
        <v>766</v>
      </c>
      <c r="B770" s="103">
        <f t="shared" ca="1" si="50"/>
        <v>58218</v>
      </c>
      <c r="C770" s="67">
        <f t="shared" ca="1" si="47"/>
        <v>-0.03</v>
      </c>
      <c r="D770" s="103">
        <f t="shared" ca="1" si="48"/>
        <v>5324829</v>
      </c>
      <c r="E770" s="67">
        <f t="shared" ca="1" si="49"/>
        <v>-0.05</v>
      </c>
      <c r="F770" s="21"/>
    </row>
    <row r="771" spans="1:6" x14ac:dyDescent="0.3">
      <c r="A771" s="34">
        <v>767</v>
      </c>
      <c r="B771" s="103">
        <f t="shared" ca="1" si="50"/>
        <v>59224</v>
      </c>
      <c r="C771" s="67">
        <f t="shared" ca="1" si="47"/>
        <v>-0.02</v>
      </c>
      <c r="D771" s="103">
        <f t="shared" ca="1" si="48"/>
        <v>5820339</v>
      </c>
      <c r="E771" s="67">
        <f t="shared" ca="1" si="49"/>
        <v>0.03</v>
      </c>
      <c r="F771" s="21"/>
    </row>
    <row r="772" spans="1:6" x14ac:dyDescent="0.3">
      <c r="A772" s="34">
        <v>768</v>
      </c>
      <c r="B772" s="103">
        <f t="shared" ca="1" si="50"/>
        <v>61022</v>
      </c>
      <c r="C772" s="67">
        <f t="shared" ca="1" si="47"/>
        <v>0.01</v>
      </c>
      <c r="D772" s="103">
        <f t="shared" ca="1" si="48"/>
        <v>5652152</v>
      </c>
      <c r="E772" s="67">
        <f t="shared" ca="1" si="49"/>
        <v>0</v>
      </c>
      <c r="F772" s="21"/>
    </row>
    <row r="773" spans="1:6" x14ac:dyDescent="0.3">
      <c r="A773" s="34">
        <v>769</v>
      </c>
      <c r="B773" s="103">
        <f t="shared" ca="1" si="50"/>
        <v>57046</v>
      </c>
      <c r="C773" s="67">
        <f t="shared" ref="C773:C836" ca="1" si="51">_xlfn.XLOOKUP(B773,selling_price_range,Range,"",-1)</f>
        <v>-0.05</v>
      </c>
      <c r="D773" s="103">
        <f t="shared" ref="D773:D836" ca="1" si="52">RANDBETWEEN($P$5*(1+$G$5),$P$5*(1+$G$15))</f>
        <v>5645384</v>
      </c>
      <c r="E773" s="67">
        <f t="shared" ref="E773:E836" ca="1" si="53">_xlfn.XLOOKUP(D773,expenses_range,Range,"",-1)</f>
        <v>0</v>
      </c>
      <c r="F773" s="21"/>
    </row>
    <row r="774" spans="1:6" x14ac:dyDescent="0.3">
      <c r="A774" s="34">
        <v>770</v>
      </c>
      <c r="B774" s="103">
        <f t="shared" ref="B774:B837" ca="1" si="54">RANDBETWEEN($P$4*(1+$G$5),$P$4*(1+$G$15))</f>
        <v>61143</v>
      </c>
      <c r="C774" s="67">
        <f t="shared" ca="1" si="51"/>
        <v>0.01</v>
      </c>
      <c r="D774" s="103">
        <f t="shared" ca="1" si="52"/>
        <v>5410517</v>
      </c>
      <c r="E774" s="67">
        <f t="shared" ca="1" si="53"/>
        <v>-0.04</v>
      </c>
      <c r="F774" s="21"/>
    </row>
    <row r="775" spans="1:6" x14ac:dyDescent="0.3">
      <c r="A775" s="34">
        <v>771</v>
      </c>
      <c r="B775" s="103">
        <f t="shared" ca="1" si="54"/>
        <v>59145</v>
      </c>
      <c r="C775" s="67">
        <f t="shared" ca="1" si="51"/>
        <v>-0.02</v>
      </c>
      <c r="D775" s="103">
        <f t="shared" ca="1" si="52"/>
        <v>5346016</v>
      </c>
      <c r="E775" s="67">
        <f t="shared" ca="1" si="53"/>
        <v>-0.05</v>
      </c>
      <c r="F775" s="21"/>
    </row>
    <row r="776" spans="1:6" x14ac:dyDescent="0.3">
      <c r="A776" s="34">
        <v>772</v>
      </c>
      <c r="B776" s="103">
        <f t="shared" ca="1" si="54"/>
        <v>57841</v>
      </c>
      <c r="C776" s="67">
        <f t="shared" ca="1" si="51"/>
        <v>-0.04</v>
      </c>
      <c r="D776" s="103">
        <f t="shared" ca="1" si="52"/>
        <v>5819246</v>
      </c>
      <c r="E776" s="67">
        <f t="shared" ca="1" si="53"/>
        <v>0.03</v>
      </c>
      <c r="F776" s="21"/>
    </row>
    <row r="777" spans="1:6" x14ac:dyDescent="0.3">
      <c r="A777" s="34">
        <v>773</v>
      </c>
      <c r="B777" s="103">
        <f t="shared" ca="1" si="54"/>
        <v>58770</v>
      </c>
      <c r="C777" s="67">
        <f t="shared" ca="1" si="51"/>
        <v>-0.03</v>
      </c>
      <c r="D777" s="103">
        <f t="shared" ca="1" si="52"/>
        <v>5412446</v>
      </c>
      <c r="E777" s="67">
        <f t="shared" ca="1" si="53"/>
        <v>-0.04</v>
      </c>
      <c r="F777" s="21"/>
    </row>
    <row r="778" spans="1:6" x14ac:dyDescent="0.3">
      <c r="A778" s="34">
        <v>774</v>
      </c>
      <c r="B778" s="103">
        <f t="shared" ca="1" si="54"/>
        <v>61266</v>
      </c>
      <c r="C778" s="67">
        <f t="shared" ca="1" si="51"/>
        <v>0.02</v>
      </c>
      <c r="D778" s="103">
        <f t="shared" ca="1" si="52"/>
        <v>5841137</v>
      </c>
      <c r="E778" s="67">
        <f t="shared" ca="1" si="53"/>
        <v>0.04</v>
      </c>
      <c r="F778" s="21"/>
    </row>
    <row r="779" spans="1:6" x14ac:dyDescent="0.3">
      <c r="A779" s="34">
        <v>775</v>
      </c>
      <c r="B779" s="103">
        <f t="shared" ca="1" si="54"/>
        <v>62049</v>
      </c>
      <c r="C779" s="67">
        <f t="shared" ca="1" si="51"/>
        <v>0.03</v>
      </c>
      <c r="D779" s="103">
        <f t="shared" ca="1" si="52"/>
        <v>5450654</v>
      </c>
      <c r="E779" s="67">
        <f t="shared" ca="1" si="53"/>
        <v>-0.03</v>
      </c>
      <c r="F779" s="21"/>
    </row>
    <row r="780" spans="1:6" x14ac:dyDescent="0.3">
      <c r="A780" s="34">
        <v>776</v>
      </c>
      <c r="B780" s="103">
        <f t="shared" ca="1" si="54"/>
        <v>58858</v>
      </c>
      <c r="C780" s="67">
        <f t="shared" ca="1" si="51"/>
        <v>-0.02</v>
      </c>
      <c r="D780" s="103">
        <f t="shared" ca="1" si="52"/>
        <v>5451048</v>
      </c>
      <c r="E780" s="67">
        <f t="shared" ca="1" si="53"/>
        <v>-0.03</v>
      </c>
      <c r="F780" s="21"/>
    </row>
    <row r="781" spans="1:6" x14ac:dyDescent="0.3">
      <c r="A781" s="34">
        <v>777</v>
      </c>
      <c r="B781" s="103">
        <f t="shared" ca="1" si="54"/>
        <v>62690</v>
      </c>
      <c r="C781" s="67">
        <f t="shared" ca="1" si="51"/>
        <v>0.04</v>
      </c>
      <c r="D781" s="103">
        <f t="shared" ca="1" si="52"/>
        <v>5664354</v>
      </c>
      <c r="E781" s="67">
        <f t="shared" ca="1" si="53"/>
        <v>0.01</v>
      </c>
      <c r="F781" s="21"/>
    </row>
    <row r="782" spans="1:6" x14ac:dyDescent="0.3">
      <c r="A782" s="34">
        <v>778</v>
      </c>
      <c r="B782" s="103">
        <f t="shared" ca="1" si="54"/>
        <v>60897</v>
      </c>
      <c r="C782" s="67">
        <f t="shared" ca="1" si="51"/>
        <v>0.01</v>
      </c>
      <c r="D782" s="103">
        <f t="shared" ca="1" si="52"/>
        <v>5799810</v>
      </c>
      <c r="E782" s="67">
        <f t="shared" ca="1" si="53"/>
        <v>0.03</v>
      </c>
      <c r="F782" s="21"/>
    </row>
    <row r="783" spans="1:6" x14ac:dyDescent="0.3">
      <c r="A783" s="34">
        <v>779</v>
      </c>
      <c r="B783" s="103">
        <f t="shared" ca="1" si="54"/>
        <v>59870</v>
      </c>
      <c r="C783" s="67">
        <f t="shared" ca="1" si="51"/>
        <v>-0.01</v>
      </c>
      <c r="D783" s="103">
        <f t="shared" ca="1" si="52"/>
        <v>5594659</v>
      </c>
      <c r="E783" s="67">
        <f t="shared" ca="1" si="53"/>
        <v>-0.01</v>
      </c>
      <c r="F783" s="21"/>
    </row>
    <row r="784" spans="1:6" x14ac:dyDescent="0.3">
      <c r="A784" s="34">
        <v>780</v>
      </c>
      <c r="B784" s="103">
        <f t="shared" ca="1" si="54"/>
        <v>58110</v>
      </c>
      <c r="C784" s="67">
        <f t="shared" ca="1" si="51"/>
        <v>-0.04</v>
      </c>
      <c r="D784" s="103">
        <f t="shared" ca="1" si="52"/>
        <v>5366691</v>
      </c>
      <c r="E784" s="67">
        <f t="shared" ca="1" si="53"/>
        <v>-0.05</v>
      </c>
      <c r="F784" s="21"/>
    </row>
    <row r="785" spans="1:6" x14ac:dyDescent="0.3">
      <c r="A785" s="34">
        <v>781</v>
      </c>
      <c r="B785" s="103">
        <f t="shared" ca="1" si="54"/>
        <v>59747</v>
      </c>
      <c r="C785" s="67">
        <f t="shared" ca="1" si="51"/>
        <v>-0.01</v>
      </c>
      <c r="D785" s="103">
        <f t="shared" ca="1" si="52"/>
        <v>5746701</v>
      </c>
      <c r="E785" s="67">
        <f t="shared" ca="1" si="53"/>
        <v>0.02</v>
      </c>
      <c r="F785" s="21"/>
    </row>
    <row r="786" spans="1:6" x14ac:dyDescent="0.3">
      <c r="A786" s="34">
        <v>782</v>
      </c>
      <c r="B786" s="103">
        <f t="shared" ca="1" si="54"/>
        <v>59298</v>
      </c>
      <c r="C786" s="67">
        <f t="shared" ca="1" si="51"/>
        <v>-0.02</v>
      </c>
      <c r="D786" s="103">
        <f t="shared" ca="1" si="52"/>
        <v>5401394</v>
      </c>
      <c r="E786" s="67">
        <f t="shared" ca="1" si="53"/>
        <v>-0.04</v>
      </c>
      <c r="F786" s="21"/>
    </row>
    <row r="787" spans="1:6" x14ac:dyDescent="0.3">
      <c r="A787" s="34">
        <v>783</v>
      </c>
      <c r="B787" s="103">
        <f t="shared" ca="1" si="54"/>
        <v>57252</v>
      </c>
      <c r="C787" s="67">
        <f t="shared" ca="1" si="51"/>
        <v>-0.05</v>
      </c>
      <c r="D787" s="103">
        <f t="shared" ca="1" si="52"/>
        <v>5446084</v>
      </c>
      <c r="E787" s="67">
        <f t="shared" ca="1" si="53"/>
        <v>-0.03</v>
      </c>
      <c r="F787" s="21"/>
    </row>
    <row r="788" spans="1:6" x14ac:dyDescent="0.3">
      <c r="A788" s="34">
        <v>784</v>
      </c>
      <c r="B788" s="103">
        <f t="shared" ca="1" si="54"/>
        <v>59611</v>
      </c>
      <c r="C788" s="67">
        <f t="shared" ca="1" si="51"/>
        <v>-0.01</v>
      </c>
      <c r="D788" s="103">
        <f t="shared" ca="1" si="52"/>
        <v>5490670</v>
      </c>
      <c r="E788" s="67">
        <f t="shared" ca="1" si="53"/>
        <v>-0.03</v>
      </c>
      <c r="F788" s="21"/>
    </row>
    <row r="789" spans="1:6" x14ac:dyDescent="0.3">
      <c r="A789" s="34">
        <v>785</v>
      </c>
      <c r="B789" s="103">
        <f t="shared" ca="1" si="54"/>
        <v>60336</v>
      </c>
      <c r="C789" s="67">
        <f t="shared" ca="1" si="51"/>
        <v>0</v>
      </c>
      <c r="D789" s="103">
        <f t="shared" ca="1" si="52"/>
        <v>5782734</v>
      </c>
      <c r="E789" s="67">
        <f t="shared" ca="1" si="53"/>
        <v>0.03</v>
      </c>
      <c r="F789" s="21"/>
    </row>
    <row r="790" spans="1:6" x14ac:dyDescent="0.3">
      <c r="A790" s="34">
        <v>786</v>
      </c>
      <c r="B790" s="103">
        <f t="shared" ca="1" si="54"/>
        <v>62226</v>
      </c>
      <c r="C790" s="67">
        <f t="shared" ca="1" si="51"/>
        <v>0.03</v>
      </c>
      <c r="D790" s="103">
        <f t="shared" ca="1" si="52"/>
        <v>5325490</v>
      </c>
      <c r="E790" s="67">
        <f t="shared" ca="1" si="53"/>
        <v>-0.05</v>
      </c>
      <c r="F790" s="21"/>
    </row>
    <row r="791" spans="1:6" x14ac:dyDescent="0.3">
      <c r="A791" s="34">
        <v>787</v>
      </c>
      <c r="B791" s="103">
        <f t="shared" ca="1" si="54"/>
        <v>59206</v>
      </c>
      <c r="C791" s="67">
        <f t="shared" ca="1" si="51"/>
        <v>-0.02</v>
      </c>
      <c r="D791" s="103">
        <f t="shared" ca="1" si="52"/>
        <v>5430726</v>
      </c>
      <c r="E791" s="67">
        <f t="shared" ca="1" si="53"/>
        <v>-0.04</v>
      </c>
      <c r="F791" s="21"/>
    </row>
    <row r="792" spans="1:6" x14ac:dyDescent="0.3">
      <c r="A792" s="34">
        <v>788</v>
      </c>
      <c r="B792" s="103">
        <f t="shared" ca="1" si="54"/>
        <v>60008</v>
      </c>
      <c r="C792" s="67">
        <f t="shared" ca="1" si="51"/>
        <v>0</v>
      </c>
      <c r="D792" s="103">
        <f t="shared" ca="1" si="52"/>
        <v>5754250</v>
      </c>
      <c r="E792" s="67">
        <f t="shared" ca="1" si="53"/>
        <v>0.02</v>
      </c>
      <c r="F792" s="21"/>
    </row>
    <row r="793" spans="1:6" x14ac:dyDescent="0.3">
      <c r="A793" s="34">
        <v>789</v>
      </c>
      <c r="B793" s="103">
        <f t="shared" ca="1" si="54"/>
        <v>60598</v>
      </c>
      <c r="C793" s="67">
        <f t="shared" ca="1" si="51"/>
        <v>0</v>
      </c>
      <c r="D793" s="103">
        <f t="shared" ca="1" si="52"/>
        <v>5659292</v>
      </c>
      <c r="E793" s="67">
        <f t="shared" ca="1" si="53"/>
        <v>0</v>
      </c>
      <c r="F793" s="21"/>
    </row>
    <row r="794" spans="1:6" x14ac:dyDescent="0.3">
      <c r="A794" s="34">
        <v>790</v>
      </c>
      <c r="B794" s="103">
        <f t="shared" ca="1" si="54"/>
        <v>58126</v>
      </c>
      <c r="C794" s="67">
        <f t="shared" ca="1" si="51"/>
        <v>-0.04</v>
      </c>
      <c r="D794" s="103">
        <f t="shared" ca="1" si="52"/>
        <v>5636919</v>
      </c>
      <c r="E794" s="67">
        <f t="shared" ca="1" si="53"/>
        <v>0</v>
      </c>
      <c r="F794" s="21"/>
    </row>
    <row r="795" spans="1:6" x14ac:dyDescent="0.3">
      <c r="A795" s="34">
        <v>791</v>
      </c>
      <c r="B795" s="103">
        <f t="shared" ca="1" si="54"/>
        <v>58755</v>
      </c>
      <c r="C795" s="67">
        <f t="shared" ca="1" si="51"/>
        <v>-0.03</v>
      </c>
      <c r="D795" s="103">
        <f t="shared" ca="1" si="52"/>
        <v>5524222</v>
      </c>
      <c r="E795" s="67">
        <f t="shared" ca="1" si="53"/>
        <v>-0.02</v>
      </c>
      <c r="F795" s="21"/>
    </row>
    <row r="796" spans="1:6" x14ac:dyDescent="0.3">
      <c r="A796" s="34">
        <v>792</v>
      </c>
      <c r="B796" s="103">
        <f t="shared" ca="1" si="54"/>
        <v>62386</v>
      </c>
      <c r="C796" s="67">
        <f t="shared" ca="1" si="51"/>
        <v>0.03</v>
      </c>
      <c r="D796" s="103">
        <f t="shared" ca="1" si="52"/>
        <v>5757667</v>
      </c>
      <c r="E796" s="67">
        <f t="shared" ca="1" si="53"/>
        <v>0.02</v>
      </c>
      <c r="F796" s="21"/>
    </row>
    <row r="797" spans="1:6" x14ac:dyDescent="0.3">
      <c r="A797" s="34">
        <v>793</v>
      </c>
      <c r="B797" s="103">
        <f t="shared" ca="1" si="54"/>
        <v>59210</v>
      </c>
      <c r="C797" s="67">
        <f t="shared" ca="1" si="51"/>
        <v>-0.02</v>
      </c>
      <c r="D797" s="103">
        <f t="shared" ca="1" si="52"/>
        <v>5693710</v>
      </c>
      <c r="E797" s="67">
        <f t="shared" ca="1" si="53"/>
        <v>0.01</v>
      </c>
      <c r="F797" s="21"/>
    </row>
    <row r="798" spans="1:6" x14ac:dyDescent="0.3">
      <c r="A798" s="34">
        <v>794</v>
      </c>
      <c r="B798" s="103">
        <f t="shared" ca="1" si="54"/>
        <v>60670</v>
      </c>
      <c r="C798" s="67">
        <f t="shared" ca="1" si="51"/>
        <v>0.01</v>
      </c>
      <c r="D798" s="103">
        <f t="shared" ca="1" si="52"/>
        <v>5839071</v>
      </c>
      <c r="E798" s="67">
        <f t="shared" ca="1" si="53"/>
        <v>0.04</v>
      </c>
      <c r="F798" s="21"/>
    </row>
    <row r="799" spans="1:6" x14ac:dyDescent="0.3">
      <c r="A799" s="34">
        <v>795</v>
      </c>
      <c r="B799" s="103">
        <f t="shared" ca="1" si="54"/>
        <v>60255</v>
      </c>
      <c r="C799" s="67">
        <f t="shared" ca="1" si="51"/>
        <v>0</v>
      </c>
      <c r="D799" s="103">
        <f t="shared" ca="1" si="52"/>
        <v>5653339</v>
      </c>
      <c r="E799" s="67">
        <f t="shared" ca="1" si="53"/>
        <v>0</v>
      </c>
      <c r="F799" s="21"/>
    </row>
    <row r="800" spans="1:6" x14ac:dyDescent="0.3">
      <c r="A800" s="34">
        <v>796</v>
      </c>
      <c r="B800" s="103">
        <f t="shared" ca="1" si="54"/>
        <v>58758</v>
      </c>
      <c r="C800" s="67">
        <f t="shared" ca="1" si="51"/>
        <v>-0.03</v>
      </c>
      <c r="D800" s="103">
        <f t="shared" ca="1" si="52"/>
        <v>5869612</v>
      </c>
      <c r="E800" s="67">
        <f t="shared" ca="1" si="53"/>
        <v>0.04</v>
      </c>
      <c r="F800" s="21"/>
    </row>
    <row r="801" spans="1:6" x14ac:dyDescent="0.3">
      <c r="A801" s="34">
        <v>797</v>
      </c>
      <c r="B801" s="103">
        <f t="shared" ca="1" si="54"/>
        <v>57217</v>
      </c>
      <c r="C801" s="67">
        <f t="shared" ca="1" si="51"/>
        <v>-0.05</v>
      </c>
      <c r="D801" s="103">
        <f t="shared" ca="1" si="52"/>
        <v>5880490</v>
      </c>
      <c r="E801" s="67">
        <f t="shared" ca="1" si="53"/>
        <v>0.04</v>
      </c>
      <c r="F801" s="21"/>
    </row>
    <row r="802" spans="1:6" x14ac:dyDescent="0.3">
      <c r="A802" s="34">
        <v>798</v>
      </c>
      <c r="B802" s="103">
        <f t="shared" ca="1" si="54"/>
        <v>59521</v>
      </c>
      <c r="C802" s="67">
        <f t="shared" ca="1" si="51"/>
        <v>-0.01</v>
      </c>
      <c r="D802" s="103">
        <f t="shared" ca="1" si="52"/>
        <v>5515729</v>
      </c>
      <c r="E802" s="67">
        <f t="shared" ca="1" si="53"/>
        <v>-0.02</v>
      </c>
      <c r="F802" s="21"/>
    </row>
    <row r="803" spans="1:6" x14ac:dyDescent="0.3">
      <c r="A803" s="34">
        <v>799</v>
      </c>
      <c r="B803" s="103">
        <f t="shared" ca="1" si="54"/>
        <v>58436</v>
      </c>
      <c r="C803" s="67">
        <f t="shared" ca="1" si="51"/>
        <v>-0.03</v>
      </c>
      <c r="D803" s="103">
        <f t="shared" ca="1" si="52"/>
        <v>5682820</v>
      </c>
      <c r="E803" s="67">
        <f t="shared" ca="1" si="53"/>
        <v>0.01</v>
      </c>
      <c r="F803" s="21"/>
    </row>
    <row r="804" spans="1:6" x14ac:dyDescent="0.3">
      <c r="A804" s="34">
        <v>800</v>
      </c>
      <c r="B804" s="103">
        <f t="shared" ca="1" si="54"/>
        <v>57948</v>
      </c>
      <c r="C804" s="67">
        <f t="shared" ca="1" si="51"/>
        <v>-0.04</v>
      </c>
      <c r="D804" s="103">
        <f t="shared" ca="1" si="52"/>
        <v>5639955</v>
      </c>
      <c r="E804" s="67">
        <f t="shared" ca="1" si="53"/>
        <v>0</v>
      </c>
      <c r="F804" s="21"/>
    </row>
    <row r="805" spans="1:6" x14ac:dyDescent="0.3">
      <c r="A805" s="34">
        <v>801</v>
      </c>
      <c r="B805" s="103">
        <f t="shared" ca="1" si="54"/>
        <v>62914</v>
      </c>
      <c r="C805" s="67">
        <f t="shared" ca="1" si="51"/>
        <v>0.04</v>
      </c>
      <c r="D805" s="103">
        <f t="shared" ca="1" si="52"/>
        <v>5496123</v>
      </c>
      <c r="E805" s="67">
        <f t="shared" ca="1" si="53"/>
        <v>-0.02</v>
      </c>
      <c r="F805" s="21"/>
    </row>
    <row r="806" spans="1:6" x14ac:dyDescent="0.3">
      <c r="A806" s="34">
        <v>802</v>
      </c>
      <c r="B806" s="103">
        <f t="shared" ca="1" si="54"/>
        <v>60293</v>
      </c>
      <c r="C806" s="67">
        <f t="shared" ca="1" si="51"/>
        <v>0</v>
      </c>
      <c r="D806" s="103">
        <f t="shared" ca="1" si="52"/>
        <v>5540075</v>
      </c>
      <c r="E806" s="67">
        <f t="shared" ca="1" si="53"/>
        <v>-0.02</v>
      </c>
      <c r="F806" s="21"/>
    </row>
    <row r="807" spans="1:6" x14ac:dyDescent="0.3">
      <c r="A807" s="34">
        <v>803</v>
      </c>
      <c r="B807" s="103">
        <f t="shared" ca="1" si="54"/>
        <v>57399</v>
      </c>
      <c r="C807" s="67">
        <f t="shared" ca="1" si="51"/>
        <v>-0.05</v>
      </c>
      <c r="D807" s="103">
        <f t="shared" ca="1" si="52"/>
        <v>5438469</v>
      </c>
      <c r="E807" s="67">
        <f t="shared" ca="1" si="53"/>
        <v>-0.03</v>
      </c>
      <c r="F807" s="21"/>
    </row>
    <row r="808" spans="1:6" x14ac:dyDescent="0.3">
      <c r="A808" s="34">
        <v>804</v>
      </c>
      <c r="B808" s="103">
        <f t="shared" ca="1" si="54"/>
        <v>60520</v>
      </c>
      <c r="C808" s="67">
        <f t="shared" ca="1" si="51"/>
        <v>0</v>
      </c>
      <c r="D808" s="103">
        <f t="shared" ca="1" si="52"/>
        <v>5468245</v>
      </c>
      <c r="E808" s="67">
        <f t="shared" ca="1" si="53"/>
        <v>-0.03</v>
      </c>
      <c r="F808" s="21"/>
    </row>
    <row r="809" spans="1:6" x14ac:dyDescent="0.3">
      <c r="A809" s="34">
        <v>805</v>
      </c>
      <c r="B809" s="103">
        <f t="shared" ca="1" si="54"/>
        <v>58766</v>
      </c>
      <c r="C809" s="67">
        <f t="shared" ca="1" si="51"/>
        <v>-0.03</v>
      </c>
      <c r="D809" s="103">
        <f t="shared" ca="1" si="52"/>
        <v>5426371</v>
      </c>
      <c r="E809" s="67">
        <f t="shared" ca="1" si="53"/>
        <v>-0.04</v>
      </c>
      <c r="F809" s="21"/>
    </row>
    <row r="810" spans="1:6" x14ac:dyDescent="0.3">
      <c r="A810" s="34">
        <v>806</v>
      </c>
      <c r="B810" s="103">
        <f t="shared" ca="1" si="54"/>
        <v>57965</v>
      </c>
      <c r="C810" s="67">
        <f t="shared" ca="1" si="51"/>
        <v>-0.04</v>
      </c>
      <c r="D810" s="103">
        <f t="shared" ca="1" si="52"/>
        <v>5636064</v>
      </c>
      <c r="E810" s="67">
        <f t="shared" ca="1" si="53"/>
        <v>0</v>
      </c>
      <c r="F810" s="21"/>
    </row>
    <row r="811" spans="1:6" x14ac:dyDescent="0.3">
      <c r="A811" s="34">
        <v>807</v>
      </c>
      <c r="B811" s="103">
        <f t="shared" ca="1" si="54"/>
        <v>62310</v>
      </c>
      <c r="C811" s="67">
        <f t="shared" ca="1" si="51"/>
        <v>0.03</v>
      </c>
      <c r="D811" s="103">
        <f t="shared" ca="1" si="52"/>
        <v>5397418</v>
      </c>
      <c r="E811" s="67">
        <f t="shared" ca="1" si="53"/>
        <v>-0.04</v>
      </c>
      <c r="F811" s="21"/>
    </row>
    <row r="812" spans="1:6" x14ac:dyDescent="0.3">
      <c r="A812" s="34">
        <v>808</v>
      </c>
      <c r="B812" s="103">
        <f t="shared" ca="1" si="54"/>
        <v>59242</v>
      </c>
      <c r="C812" s="67">
        <f t="shared" ca="1" si="51"/>
        <v>-0.02</v>
      </c>
      <c r="D812" s="103">
        <f t="shared" ca="1" si="52"/>
        <v>5422239</v>
      </c>
      <c r="E812" s="67">
        <f t="shared" ca="1" si="53"/>
        <v>-0.04</v>
      </c>
      <c r="F812" s="21"/>
    </row>
    <row r="813" spans="1:6" x14ac:dyDescent="0.3">
      <c r="A813" s="34">
        <v>809</v>
      </c>
      <c r="B813" s="103">
        <f t="shared" ca="1" si="54"/>
        <v>58929</v>
      </c>
      <c r="C813" s="67">
        <f t="shared" ca="1" si="51"/>
        <v>-0.02</v>
      </c>
      <c r="D813" s="103">
        <f t="shared" ca="1" si="52"/>
        <v>5687760</v>
      </c>
      <c r="E813" s="67">
        <f t="shared" ca="1" si="53"/>
        <v>0.01</v>
      </c>
      <c r="F813" s="21"/>
    </row>
    <row r="814" spans="1:6" x14ac:dyDescent="0.3">
      <c r="A814" s="34">
        <v>810</v>
      </c>
      <c r="B814" s="103">
        <f t="shared" ca="1" si="54"/>
        <v>57599</v>
      </c>
      <c r="C814" s="67">
        <f t="shared" ca="1" si="51"/>
        <v>-0.05</v>
      </c>
      <c r="D814" s="103">
        <f t="shared" ca="1" si="52"/>
        <v>5820406</v>
      </c>
      <c r="E814" s="67">
        <f t="shared" ca="1" si="53"/>
        <v>0.03</v>
      </c>
      <c r="F814" s="21"/>
    </row>
    <row r="815" spans="1:6" x14ac:dyDescent="0.3">
      <c r="A815" s="34">
        <v>811</v>
      </c>
      <c r="B815" s="103">
        <f t="shared" ca="1" si="54"/>
        <v>57386</v>
      </c>
      <c r="C815" s="67">
        <f t="shared" ca="1" si="51"/>
        <v>-0.05</v>
      </c>
      <c r="D815" s="103">
        <f t="shared" ca="1" si="52"/>
        <v>5345895</v>
      </c>
      <c r="E815" s="67">
        <f t="shared" ca="1" si="53"/>
        <v>-0.05</v>
      </c>
      <c r="F815" s="21"/>
    </row>
    <row r="816" spans="1:6" x14ac:dyDescent="0.3">
      <c r="A816" s="34">
        <v>812</v>
      </c>
      <c r="B816" s="103">
        <f t="shared" ca="1" si="54"/>
        <v>61520</v>
      </c>
      <c r="C816" s="67">
        <f t="shared" ca="1" si="51"/>
        <v>0.02</v>
      </c>
      <c r="D816" s="103">
        <f t="shared" ca="1" si="52"/>
        <v>5731017</v>
      </c>
      <c r="E816" s="67">
        <f t="shared" ca="1" si="53"/>
        <v>0.02</v>
      </c>
      <c r="F816" s="21"/>
    </row>
    <row r="817" spans="1:6" x14ac:dyDescent="0.3">
      <c r="A817" s="34">
        <v>813</v>
      </c>
      <c r="B817" s="103">
        <f t="shared" ca="1" si="54"/>
        <v>57241</v>
      </c>
      <c r="C817" s="67">
        <f t="shared" ca="1" si="51"/>
        <v>-0.05</v>
      </c>
      <c r="D817" s="103">
        <f t="shared" ca="1" si="52"/>
        <v>5730153</v>
      </c>
      <c r="E817" s="67">
        <f t="shared" ca="1" si="53"/>
        <v>0.02</v>
      </c>
      <c r="F817" s="21"/>
    </row>
    <row r="818" spans="1:6" x14ac:dyDescent="0.3">
      <c r="A818" s="34">
        <v>814</v>
      </c>
      <c r="B818" s="103">
        <f t="shared" ca="1" si="54"/>
        <v>58531</v>
      </c>
      <c r="C818" s="67">
        <f t="shared" ca="1" si="51"/>
        <v>-0.03</v>
      </c>
      <c r="D818" s="103">
        <f t="shared" ca="1" si="52"/>
        <v>5619654</v>
      </c>
      <c r="E818" s="67">
        <f t="shared" ca="1" si="53"/>
        <v>0</v>
      </c>
      <c r="F818" s="21"/>
    </row>
    <row r="819" spans="1:6" x14ac:dyDescent="0.3">
      <c r="A819" s="34">
        <v>815</v>
      </c>
      <c r="B819" s="103">
        <f t="shared" ca="1" si="54"/>
        <v>60993</v>
      </c>
      <c r="C819" s="67">
        <f t="shared" ca="1" si="51"/>
        <v>0.01</v>
      </c>
      <c r="D819" s="103">
        <f t="shared" ca="1" si="52"/>
        <v>5475237</v>
      </c>
      <c r="E819" s="67">
        <f t="shared" ca="1" si="53"/>
        <v>-0.03</v>
      </c>
      <c r="F819" s="21"/>
    </row>
    <row r="820" spans="1:6" x14ac:dyDescent="0.3">
      <c r="A820" s="34">
        <v>816</v>
      </c>
      <c r="B820" s="103">
        <f t="shared" ca="1" si="54"/>
        <v>59138</v>
      </c>
      <c r="C820" s="67">
        <f t="shared" ca="1" si="51"/>
        <v>-0.02</v>
      </c>
      <c r="D820" s="103">
        <f t="shared" ca="1" si="52"/>
        <v>5377866</v>
      </c>
      <c r="E820" s="67">
        <f t="shared" ca="1" si="53"/>
        <v>-0.05</v>
      </c>
      <c r="F820" s="21"/>
    </row>
    <row r="821" spans="1:6" x14ac:dyDescent="0.3">
      <c r="A821" s="34">
        <v>817</v>
      </c>
      <c r="B821" s="103">
        <f t="shared" ca="1" si="54"/>
        <v>57026</v>
      </c>
      <c r="C821" s="67">
        <f t="shared" ca="1" si="51"/>
        <v>-0.05</v>
      </c>
      <c r="D821" s="103">
        <f t="shared" ca="1" si="52"/>
        <v>5579357</v>
      </c>
      <c r="E821" s="67">
        <f t="shared" ca="1" si="53"/>
        <v>-0.01</v>
      </c>
      <c r="F821" s="21"/>
    </row>
    <row r="822" spans="1:6" x14ac:dyDescent="0.3">
      <c r="A822" s="34">
        <v>818</v>
      </c>
      <c r="B822" s="103">
        <f t="shared" ca="1" si="54"/>
        <v>60301</v>
      </c>
      <c r="C822" s="67">
        <f t="shared" ca="1" si="51"/>
        <v>0</v>
      </c>
      <c r="D822" s="103">
        <f t="shared" ca="1" si="52"/>
        <v>5447212</v>
      </c>
      <c r="E822" s="67">
        <f t="shared" ca="1" si="53"/>
        <v>-0.03</v>
      </c>
      <c r="F822" s="21"/>
    </row>
    <row r="823" spans="1:6" x14ac:dyDescent="0.3">
      <c r="A823" s="34">
        <v>819</v>
      </c>
      <c r="B823" s="103">
        <f t="shared" ca="1" si="54"/>
        <v>58122</v>
      </c>
      <c r="C823" s="67">
        <f t="shared" ca="1" si="51"/>
        <v>-0.04</v>
      </c>
      <c r="D823" s="103">
        <f t="shared" ca="1" si="52"/>
        <v>5623658</v>
      </c>
      <c r="E823" s="67">
        <f t="shared" ca="1" si="53"/>
        <v>0</v>
      </c>
      <c r="F823" s="21"/>
    </row>
    <row r="824" spans="1:6" x14ac:dyDescent="0.3">
      <c r="A824" s="34">
        <v>820</v>
      </c>
      <c r="B824" s="103">
        <f t="shared" ca="1" si="54"/>
        <v>59744</v>
      </c>
      <c r="C824" s="67">
        <f t="shared" ca="1" si="51"/>
        <v>-0.01</v>
      </c>
      <c r="D824" s="103">
        <f t="shared" ca="1" si="52"/>
        <v>5744314</v>
      </c>
      <c r="E824" s="67">
        <f t="shared" ca="1" si="53"/>
        <v>0.02</v>
      </c>
      <c r="F824" s="21"/>
    </row>
    <row r="825" spans="1:6" x14ac:dyDescent="0.3">
      <c r="A825" s="34">
        <v>821</v>
      </c>
      <c r="B825" s="103">
        <f t="shared" ca="1" si="54"/>
        <v>62711</v>
      </c>
      <c r="C825" s="67">
        <f t="shared" ca="1" si="51"/>
        <v>0.04</v>
      </c>
      <c r="D825" s="103">
        <f t="shared" ca="1" si="52"/>
        <v>5404239</v>
      </c>
      <c r="E825" s="67">
        <f t="shared" ca="1" si="53"/>
        <v>-0.04</v>
      </c>
      <c r="F825" s="21"/>
    </row>
    <row r="826" spans="1:6" x14ac:dyDescent="0.3">
      <c r="A826" s="34">
        <v>822</v>
      </c>
      <c r="B826" s="103">
        <f t="shared" ca="1" si="54"/>
        <v>60326</v>
      </c>
      <c r="C826" s="67">
        <f t="shared" ca="1" si="51"/>
        <v>0</v>
      </c>
      <c r="D826" s="103">
        <f t="shared" ca="1" si="52"/>
        <v>5589703</v>
      </c>
      <c r="E826" s="67">
        <f t="shared" ca="1" si="53"/>
        <v>-0.01</v>
      </c>
      <c r="F826" s="21"/>
    </row>
    <row r="827" spans="1:6" x14ac:dyDescent="0.3">
      <c r="A827" s="34">
        <v>823</v>
      </c>
      <c r="B827" s="103">
        <f t="shared" ca="1" si="54"/>
        <v>62658</v>
      </c>
      <c r="C827" s="67">
        <f t="shared" ca="1" si="51"/>
        <v>0.04</v>
      </c>
      <c r="D827" s="103">
        <f t="shared" ca="1" si="52"/>
        <v>5823465</v>
      </c>
      <c r="E827" s="67">
        <f t="shared" ca="1" si="53"/>
        <v>0.03</v>
      </c>
      <c r="F827" s="21"/>
    </row>
    <row r="828" spans="1:6" x14ac:dyDescent="0.3">
      <c r="A828" s="34">
        <v>824</v>
      </c>
      <c r="B828" s="103">
        <f t="shared" ca="1" si="54"/>
        <v>58885</v>
      </c>
      <c r="C828" s="67">
        <f t="shared" ca="1" si="51"/>
        <v>-0.02</v>
      </c>
      <c r="D828" s="103">
        <f t="shared" ca="1" si="52"/>
        <v>5425899</v>
      </c>
      <c r="E828" s="67">
        <f t="shared" ca="1" si="53"/>
        <v>-0.04</v>
      </c>
      <c r="F828" s="21"/>
    </row>
    <row r="829" spans="1:6" x14ac:dyDescent="0.3">
      <c r="A829" s="34">
        <v>825</v>
      </c>
      <c r="B829" s="103">
        <f t="shared" ca="1" si="54"/>
        <v>57657</v>
      </c>
      <c r="C829" s="67">
        <f t="shared" ca="1" si="51"/>
        <v>-0.04</v>
      </c>
      <c r="D829" s="103">
        <f t="shared" ca="1" si="52"/>
        <v>5600958</v>
      </c>
      <c r="E829" s="67">
        <f t="shared" ca="1" si="53"/>
        <v>-0.01</v>
      </c>
      <c r="F829" s="21"/>
    </row>
    <row r="830" spans="1:6" x14ac:dyDescent="0.3">
      <c r="A830" s="34">
        <v>826</v>
      </c>
      <c r="B830" s="103">
        <f t="shared" ca="1" si="54"/>
        <v>62624</v>
      </c>
      <c r="C830" s="67">
        <f t="shared" ca="1" si="51"/>
        <v>0.04</v>
      </c>
      <c r="D830" s="103">
        <f t="shared" ca="1" si="52"/>
        <v>5357210</v>
      </c>
      <c r="E830" s="67">
        <f t="shared" ca="1" si="53"/>
        <v>-0.05</v>
      </c>
      <c r="F830" s="21"/>
    </row>
    <row r="831" spans="1:6" x14ac:dyDescent="0.3">
      <c r="A831" s="34">
        <v>827</v>
      </c>
      <c r="B831" s="103">
        <f t="shared" ca="1" si="54"/>
        <v>60865</v>
      </c>
      <c r="C831" s="67">
        <f t="shared" ca="1" si="51"/>
        <v>0.01</v>
      </c>
      <c r="D831" s="103">
        <f t="shared" ca="1" si="52"/>
        <v>5853471</v>
      </c>
      <c r="E831" s="67">
        <f t="shared" ca="1" si="53"/>
        <v>0.04</v>
      </c>
      <c r="F831" s="21"/>
    </row>
    <row r="832" spans="1:6" x14ac:dyDescent="0.3">
      <c r="A832" s="34">
        <v>828</v>
      </c>
      <c r="B832" s="103">
        <f t="shared" ca="1" si="54"/>
        <v>57668</v>
      </c>
      <c r="C832" s="67">
        <f t="shared" ca="1" si="51"/>
        <v>-0.04</v>
      </c>
      <c r="D832" s="103">
        <f t="shared" ca="1" si="52"/>
        <v>5814811</v>
      </c>
      <c r="E832" s="67">
        <f t="shared" ca="1" si="53"/>
        <v>0.03</v>
      </c>
      <c r="F832" s="21"/>
    </row>
    <row r="833" spans="1:6" x14ac:dyDescent="0.3">
      <c r="A833" s="34">
        <v>829</v>
      </c>
      <c r="B833" s="103">
        <f t="shared" ca="1" si="54"/>
        <v>59128</v>
      </c>
      <c r="C833" s="67">
        <f t="shared" ca="1" si="51"/>
        <v>-0.02</v>
      </c>
      <c r="D833" s="103">
        <f t="shared" ca="1" si="52"/>
        <v>5631922</v>
      </c>
      <c r="E833" s="67">
        <f t="shared" ca="1" si="53"/>
        <v>0</v>
      </c>
      <c r="F833" s="21"/>
    </row>
    <row r="834" spans="1:6" x14ac:dyDescent="0.3">
      <c r="A834" s="34">
        <v>830</v>
      </c>
      <c r="B834" s="103">
        <f t="shared" ca="1" si="54"/>
        <v>62279</v>
      </c>
      <c r="C834" s="67">
        <f t="shared" ca="1" si="51"/>
        <v>0.03</v>
      </c>
      <c r="D834" s="103">
        <f t="shared" ca="1" si="52"/>
        <v>5330607</v>
      </c>
      <c r="E834" s="67">
        <f t="shared" ca="1" si="53"/>
        <v>-0.05</v>
      </c>
      <c r="F834" s="21"/>
    </row>
    <row r="835" spans="1:6" x14ac:dyDescent="0.3">
      <c r="A835" s="34">
        <v>831</v>
      </c>
      <c r="B835" s="103">
        <f t="shared" ca="1" si="54"/>
        <v>62923</v>
      </c>
      <c r="C835" s="67">
        <f t="shared" ca="1" si="51"/>
        <v>0.04</v>
      </c>
      <c r="D835" s="103">
        <f t="shared" ca="1" si="52"/>
        <v>5375053</v>
      </c>
      <c r="E835" s="67">
        <f t="shared" ca="1" si="53"/>
        <v>-0.05</v>
      </c>
      <c r="F835" s="21"/>
    </row>
    <row r="836" spans="1:6" x14ac:dyDescent="0.3">
      <c r="A836" s="34">
        <v>832</v>
      </c>
      <c r="B836" s="103">
        <f t="shared" ca="1" si="54"/>
        <v>59064</v>
      </c>
      <c r="C836" s="67">
        <f t="shared" ca="1" si="51"/>
        <v>-0.02</v>
      </c>
      <c r="D836" s="103">
        <f t="shared" ca="1" si="52"/>
        <v>5467806</v>
      </c>
      <c r="E836" s="67">
        <f t="shared" ca="1" si="53"/>
        <v>-0.03</v>
      </c>
      <c r="F836" s="21"/>
    </row>
    <row r="837" spans="1:6" x14ac:dyDescent="0.3">
      <c r="A837" s="34">
        <v>833</v>
      </c>
      <c r="B837" s="103">
        <f t="shared" ca="1" si="54"/>
        <v>59452</v>
      </c>
      <c r="C837" s="67">
        <f t="shared" ref="C837:C900" ca="1" si="55">_xlfn.XLOOKUP(B837,selling_price_range,Range,"",-1)</f>
        <v>-0.01</v>
      </c>
      <c r="D837" s="103">
        <f t="shared" ref="D837:D900" ca="1" si="56">RANDBETWEEN($P$5*(1+$G$5),$P$5*(1+$G$15))</f>
        <v>5692729</v>
      </c>
      <c r="E837" s="67">
        <f t="shared" ref="E837:E900" ca="1" si="57">_xlfn.XLOOKUP(D837,expenses_range,Range,"",-1)</f>
        <v>0.01</v>
      </c>
      <c r="F837" s="21"/>
    </row>
    <row r="838" spans="1:6" x14ac:dyDescent="0.3">
      <c r="A838" s="34">
        <v>834</v>
      </c>
      <c r="B838" s="103">
        <f t="shared" ref="B838:B901" ca="1" si="58">RANDBETWEEN($P$4*(1+$G$5),$P$4*(1+$G$15))</f>
        <v>62276</v>
      </c>
      <c r="C838" s="67">
        <f t="shared" ca="1" si="55"/>
        <v>0.03</v>
      </c>
      <c r="D838" s="103">
        <f t="shared" ca="1" si="56"/>
        <v>5584169</v>
      </c>
      <c r="E838" s="67">
        <f t="shared" ca="1" si="57"/>
        <v>-0.01</v>
      </c>
      <c r="F838" s="21"/>
    </row>
    <row r="839" spans="1:6" x14ac:dyDescent="0.3">
      <c r="A839" s="34">
        <v>835</v>
      </c>
      <c r="B839" s="103">
        <f t="shared" ca="1" si="58"/>
        <v>62441</v>
      </c>
      <c r="C839" s="67">
        <f t="shared" ca="1" si="55"/>
        <v>0.04</v>
      </c>
      <c r="D839" s="103">
        <f t="shared" ca="1" si="56"/>
        <v>5537833</v>
      </c>
      <c r="E839" s="67">
        <f t="shared" ca="1" si="57"/>
        <v>-0.02</v>
      </c>
      <c r="F839" s="21"/>
    </row>
    <row r="840" spans="1:6" x14ac:dyDescent="0.3">
      <c r="A840" s="34">
        <v>836</v>
      </c>
      <c r="B840" s="103">
        <f t="shared" ca="1" si="58"/>
        <v>62483</v>
      </c>
      <c r="C840" s="67">
        <f t="shared" ca="1" si="55"/>
        <v>0.04</v>
      </c>
      <c r="D840" s="103">
        <f t="shared" ca="1" si="56"/>
        <v>5488150</v>
      </c>
      <c r="E840" s="67">
        <f t="shared" ca="1" si="57"/>
        <v>-0.03</v>
      </c>
      <c r="F840" s="21"/>
    </row>
    <row r="841" spans="1:6" x14ac:dyDescent="0.3">
      <c r="A841" s="34">
        <v>837</v>
      </c>
      <c r="B841" s="103">
        <f t="shared" ca="1" si="58"/>
        <v>61577</v>
      </c>
      <c r="C841" s="67">
        <f t="shared" ca="1" si="55"/>
        <v>0.02</v>
      </c>
      <c r="D841" s="103">
        <f t="shared" ca="1" si="56"/>
        <v>5573870</v>
      </c>
      <c r="E841" s="67">
        <f t="shared" ca="1" si="57"/>
        <v>-0.01</v>
      </c>
      <c r="F841" s="21"/>
    </row>
    <row r="842" spans="1:6" x14ac:dyDescent="0.3">
      <c r="A842" s="34">
        <v>838</v>
      </c>
      <c r="B842" s="103">
        <f t="shared" ca="1" si="58"/>
        <v>59762</v>
      </c>
      <c r="C842" s="67">
        <f t="shared" ca="1" si="55"/>
        <v>-0.01</v>
      </c>
      <c r="D842" s="103">
        <f t="shared" ca="1" si="56"/>
        <v>5547712</v>
      </c>
      <c r="E842" s="67">
        <f t="shared" ca="1" si="57"/>
        <v>-0.02</v>
      </c>
      <c r="F842" s="21"/>
    </row>
    <row r="843" spans="1:6" x14ac:dyDescent="0.3">
      <c r="A843" s="34">
        <v>839</v>
      </c>
      <c r="B843" s="103">
        <f t="shared" ca="1" si="58"/>
        <v>61135</v>
      </c>
      <c r="C843" s="67">
        <f t="shared" ca="1" si="55"/>
        <v>0.01</v>
      </c>
      <c r="D843" s="103">
        <f t="shared" ca="1" si="56"/>
        <v>5516864</v>
      </c>
      <c r="E843" s="67">
        <f t="shared" ca="1" si="57"/>
        <v>-0.02</v>
      </c>
      <c r="F843" s="21"/>
    </row>
    <row r="844" spans="1:6" x14ac:dyDescent="0.3">
      <c r="A844" s="34">
        <v>840</v>
      </c>
      <c r="B844" s="103">
        <f t="shared" ca="1" si="58"/>
        <v>58815</v>
      </c>
      <c r="C844" s="67">
        <f t="shared" ca="1" si="55"/>
        <v>-0.02</v>
      </c>
      <c r="D844" s="103">
        <f t="shared" ca="1" si="56"/>
        <v>5775241</v>
      </c>
      <c r="E844" s="67">
        <f t="shared" ca="1" si="57"/>
        <v>0.03</v>
      </c>
      <c r="F844" s="21"/>
    </row>
    <row r="845" spans="1:6" x14ac:dyDescent="0.3">
      <c r="A845" s="34">
        <v>841</v>
      </c>
      <c r="B845" s="103">
        <f t="shared" ca="1" si="58"/>
        <v>58861</v>
      </c>
      <c r="C845" s="67">
        <f t="shared" ca="1" si="55"/>
        <v>-0.02</v>
      </c>
      <c r="D845" s="103">
        <f t="shared" ca="1" si="56"/>
        <v>5684272</v>
      </c>
      <c r="E845" s="67">
        <f t="shared" ca="1" si="57"/>
        <v>0.01</v>
      </c>
      <c r="F845" s="21"/>
    </row>
    <row r="846" spans="1:6" x14ac:dyDescent="0.3">
      <c r="A846" s="34">
        <v>842</v>
      </c>
      <c r="B846" s="103">
        <f t="shared" ca="1" si="58"/>
        <v>58389</v>
      </c>
      <c r="C846" s="67">
        <f t="shared" ca="1" si="55"/>
        <v>-0.03</v>
      </c>
      <c r="D846" s="103">
        <f t="shared" ca="1" si="56"/>
        <v>5850471</v>
      </c>
      <c r="E846" s="67">
        <f t="shared" ca="1" si="57"/>
        <v>0.04</v>
      </c>
      <c r="F846" s="21"/>
    </row>
    <row r="847" spans="1:6" x14ac:dyDescent="0.3">
      <c r="A847" s="34">
        <v>843</v>
      </c>
      <c r="B847" s="103">
        <f t="shared" ca="1" si="58"/>
        <v>57548</v>
      </c>
      <c r="C847" s="67">
        <f t="shared" ca="1" si="55"/>
        <v>-0.05</v>
      </c>
      <c r="D847" s="103">
        <f t="shared" ca="1" si="56"/>
        <v>5441409</v>
      </c>
      <c r="E847" s="67">
        <f t="shared" ca="1" si="57"/>
        <v>-0.03</v>
      </c>
      <c r="F847" s="21"/>
    </row>
    <row r="848" spans="1:6" x14ac:dyDescent="0.3">
      <c r="A848" s="34">
        <v>844</v>
      </c>
      <c r="B848" s="103">
        <f t="shared" ca="1" si="58"/>
        <v>57321</v>
      </c>
      <c r="C848" s="67">
        <f t="shared" ca="1" si="55"/>
        <v>-0.05</v>
      </c>
      <c r="D848" s="103">
        <f t="shared" ca="1" si="56"/>
        <v>5416424</v>
      </c>
      <c r="E848" s="67">
        <f t="shared" ca="1" si="57"/>
        <v>-0.04</v>
      </c>
      <c r="F848" s="21"/>
    </row>
    <row r="849" spans="1:6" x14ac:dyDescent="0.3">
      <c r="A849" s="34">
        <v>845</v>
      </c>
      <c r="B849" s="103">
        <f t="shared" ca="1" si="58"/>
        <v>58810</v>
      </c>
      <c r="C849" s="67">
        <f t="shared" ca="1" si="55"/>
        <v>-0.02</v>
      </c>
      <c r="D849" s="103">
        <f t="shared" ca="1" si="56"/>
        <v>5805162</v>
      </c>
      <c r="E849" s="67">
        <f t="shared" ca="1" si="57"/>
        <v>0.03</v>
      </c>
      <c r="F849" s="21"/>
    </row>
    <row r="850" spans="1:6" x14ac:dyDescent="0.3">
      <c r="A850" s="34">
        <v>846</v>
      </c>
      <c r="B850" s="103">
        <f t="shared" ca="1" si="58"/>
        <v>59766</v>
      </c>
      <c r="C850" s="67">
        <f t="shared" ca="1" si="55"/>
        <v>-0.01</v>
      </c>
      <c r="D850" s="103">
        <f t="shared" ca="1" si="56"/>
        <v>5856371</v>
      </c>
      <c r="E850" s="67">
        <f t="shared" ca="1" si="57"/>
        <v>0.04</v>
      </c>
      <c r="F850" s="21"/>
    </row>
    <row r="851" spans="1:6" x14ac:dyDescent="0.3">
      <c r="A851" s="34">
        <v>847</v>
      </c>
      <c r="B851" s="103">
        <f t="shared" ca="1" si="58"/>
        <v>59760</v>
      </c>
      <c r="C851" s="67">
        <f t="shared" ca="1" si="55"/>
        <v>-0.01</v>
      </c>
      <c r="D851" s="103">
        <f t="shared" ca="1" si="56"/>
        <v>5677706</v>
      </c>
      <c r="E851" s="67">
        <f t="shared" ca="1" si="57"/>
        <v>0.01</v>
      </c>
      <c r="F851" s="21"/>
    </row>
    <row r="852" spans="1:6" x14ac:dyDescent="0.3">
      <c r="A852" s="34">
        <v>848</v>
      </c>
      <c r="B852" s="103">
        <f t="shared" ca="1" si="58"/>
        <v>59597</v>
      </c>
      <c r="C852" s="67">
        <f t="shared" ca="1" si="55"/>
        <v>-0.01</v>
      </c>
      <c r="D852" s="103">
        <f t="shared" ca="1" si="56"/>
        <v>5469704</v>
      </c>
      <c r="E852" s="67">
        <f t="shared" ca="1" si="57"/>
        <v>-0.03</v>
      </c>
      <c r="F852" s="21"/>
    </row>
    <row r="853" spans="1:6" x14ac:dyDescent="0.3">
      <c r="A853" s="34">
        <v>849</v>
      </c>
      <c r="B853" s="103">
        <f t="shared" ca="1" si="58"/>
        <v>60834</v>
      </c>
      <c r="C853" s="67">
        <f t="shared" ca="1" si="55"/>
        <v>0.01</v>
      </c>
      <c r="D853" s="103">
        <f t="shared" ca="1" si="56"/>
        <v>5535666</v>
      </c>
      <c r="E853" s="67">
        <f t="shared" ca="1" si="57"/>
        <v>-0.02</v>
      </c>
      <c r="F853" s="21"/>
    </row>
    <row r="854" spans="1:6" x14ac:dyDescent="0.3">
      <c r="A854" s="34">
        <v>850</v>
      </c>
      <c r="B854" s="103">
        <f t="shared" ca="1" si="58"/>
        <v>57808</v>
      </c>
      <c r="C854" s="67">
        <f t="shared" ca="1" si="55"/>
        <v>-0.04</v>
      </c>
      <c r="D854" s="103">
        <f t="shared" ca="1" si="56"/>
        <v>5596783</v>
      </c>
      <c r="E854" s="67">
        <f t="shared" ca="1" si="57"/>
        <v>-0.01</v>
      </c>
      <c r="F854" s="21"/>
    </row>
    <row r="855" spans="1:6" x14ac:dyDescent="0.3">
      <c r="A855" s="34">
        <v>851</v>
      </c>
      <c r="B855" s="103">
        <f t="shared" ca="1" si="58"/>
        <v>57092</v>
      </c>
      <c r="C855" s="67">
        <f t="shared" ca="1" si="55"/>
        <v>-0.05</v>
      </c>
      <c r="D855" s="103">
        <f t="shared" ca="1" si="56"/>
        <v>5614677</v>
      </c>
      <c r="E855" s="67">
        <f t="shared" ca="1" si="57"/>
        <v>0</v>
      </c>
      <c r="F855" s="21"/>
    </row>
    <row r="856" spans="1:6" x14ac:dyDescent="0.3">
      <c r="A856" s="34">
        <v>852</v>
      </c>
      <c r="B856" s="103">
        <f t="shared" ca="1" si="58"/>
        <v>61192</v>
      </c>
      <c r="C856" s="67">
        <f t="shared" ca="1" si="55"/>
        <v>0.01</v>
      </c>
      <c r="D856" s="103">
        <f t="shared" ca="1" si="56"/>
        <v>5705277</v>
      </c>
      <c r="E856" s="67">
        <f t="shared" ca="1" si="57"/>
        <v>0.01</v>
      </c>
      <c r="F856" s="21"/>
    </row>
    <row r="857" spans="1:6" x14ac:dyDescent="0.3">
      <c r="A857" s="34">
        <v>853</v>
      </c>
      <c r="B857" s="103">
        <f t="shared" ca="1" si="58"/>
        <v>57775</v>
      </c>
      <c r="C857" s="67">
        <f t="shared" ca="1" si="55"/>
        <v>-0.04</v>
      </c>
      <c r="D857" s="103">
        <f t="shared" ca="1" si="56"/>
        <v>5856066</v>
      </c>
      <c r="E857" s="67">
        <f t="shared" ca="1" si="57"/>
        <v>0.04</v>
      </c>
      <c r="F857" s="21"/>
    </row>
    <row r="858" spans="1:6" x14ac:dyDescent="0.3">
      <c r="A858" s="34">
        <v>854</v>
      </c>
      <c r="B858" s="103">
        <f t="shared" ca="1" si="58"/>
        <v>60782</v>
      </c>
      <c r="C858" s="67">
        <f t="shared" ca="1" si="55"/>
        <v>0.01</v>
      </c>
      <c r="D858" s="103">
        <f t="shared" ca="1" si="56"/>
        <v>5884726</v>
      </c>
      <c r="E858" s="67">
        <f t="shared" ca="1" si="57"/>
        <v>0.04</v>
      </c>
      <c r="F858" s="21"/>
    </row>
    <row r="859" spans="1:6" x14ac:dyDescent="0.3">
      <c r="A859" s="34">
        <v>855</v>
      </c>
      <c r="B859" s="103">
        <f t="shared" ca="1" si="58"/>
        <v>62801</v>
      </c>
      <c r="C859" s="67">
        <f t="shared" ca="1" si="55"/>
        <v>0.04</v>
      </c>
      <c r="D859" s="103">
        <f t="shared" ca="1" si="56"/>
        <v>5660911</v>
      </c>
      <c r="E859" s="67">
        <f t="shared" ca="1" si="57"/>
        <v>0.01</v>
      </c>
      <c r="F859" s="21"/>
    </row>
    <row r="860" spans="1:6" x14ac:dyDescent="0.3">
      <c r="A860" s="34">
        <v>856</v>
      </c>
      <c r="B860" s="103">
        <f t="shared" ca="1" si="58"/>
        <v>62300</v>
      </c>
      <c r="C860" s="67">
        <f t="shared" ca="1" si="55"/>
        <v>0.03</v>
      </c>
      <c r="D860" s="103">
        <f t="shared" ca="1" si="56"/>
        <v>5716884</v>
      </c>
      <c r="E860" s="67">
        <f t="shared" ca="1" si="57"/>
        <v>0.02</v>
      </c>
      <c r="F860" s="21"/>
    </row>
    <row r="861" spans="1:6" x14ac:dyDescent="0.3">
      <c r="A861" s="34">
        <v>857</v>
      </c>
      <c r="B861" s="103">
        <f t="shared" ca="1" si="58"/>
        <v>58417</v>
      </c>
      <c r="C861" s="67">
        <f t="shared" ca="1" si="55"/>
        <v>-0.03</v>
      </c>
      <c r="D861" s="103">
        <f t="shared" ca="1" si="56"/>
        <v>5542426</v>
      </c>
      <c r="E861" s="67">
        <f t="shared" ca="1" si="57"/>
        <v>-0.02</v>
      </c>
      <c r="F861" s="21"/>
    </row>
    <row r="862" spans="1:6" x14ac:dyDescent="0.3">
      <c r="A862" s="34">
        <v>858</v>
      </c>
      <c r="B862" s="103">
        <f t="shared" ca="1" si="58"/>
        <v>59946</v>
      </c>
      <c r="C862" s="67">
        <f t="shared" ca="1" si="55"/>
        <v>-0.01</v>
      </c>
      <c r="D862" s="103">
        <f t="shared" ca="1" si="56"/>
        <v>5403440</v>
      </c>
      <c r="E862" s="67">
        <f t="shared" ca="1" si="57"/>
        <v>-0.04</v>
      </c>
      <c r="F862" s="21"/>
    </row>
    <row r="863" spans="1:6" x14ac:dyDescent="0.3">
      <c r="A863" s="34">
        <v>859</v>
      </c>
      <c r="B863" s="103">
        <f t="shared" ca="1" si="58"/>
        <v>59917</v>
      </c>
      <c r="C863" s="67">
        <f t="shared" ca="1" si="55"/>
        <v>-0.01</v>
      </c>
      <c r="D863" s="103">
        <f t="shared" ca="1" si="56"/>
        <v>5789417</v>
      </c>
      <c r="E863" s="67">
        <f t="shared" ca="1" si="57"/>
        <v>0.03</v>
      </c>
      <c r="F863" s="21"/>
    </row>
    <row r="864" spans="1:6" x14ac:dyDescent="0.3">
      <c r="A864" s="34">
        <v>860</v>
      </c>
      <c r="B864" s="103">
        <f t="shared" ca="1" si="58"/>
        <v>62515</v>
      </c>
      <c r="C864" s="67">
        <f t="shared" ca="1" si="55"/>
        <v>0.04</v>
      </c>
      <c r="D864" s="103">
        <f t="shared" ca="1" si="56"/>
        <v>5418993</v>
      </c>
      <c r="E864" s="67">
        <f t="shared" ca="1" si="57"/>
        <v>-0.04</v>
      </c>
      <c r="F864" s="21"/>
    </row>
    <row r="865" spans="1:6" x14ac:dyDescent="0.3">
      <c r="A865" s="34">
        <v>861</v>
      </c>
      <c r="B865" s="103">
        <f t="shared" ca="1" si="58"/>
        <v>59146</v>
      </c>
      <c r="C865" s="67">
        <f t="shared" ca="1" si="55"/>
        <v>-0.02</v>
      </c>
      <c r="D865" s="103">
        <f t="shared" ca="1" si="56"/>
        <v>5425048</v>
      </c>
      <c r="E865" s="67">
        <f t="shared" ca="1" si="57"/>
        <v>-0.04</v>
      </c>
      <c r="F865" s="21"/>
    </row>
    <row r="866" spans="1:6" x14ac:dyDescent="0.3">
      <c r="A866" s="34">
        <v>862</v>
      </c>
      <c r="B866" s="103">
        <f t="shared" ca="1" si="58"/>
        <v>57175</v>
      </c>
      <c r="C866" s="67">
        <f t="shared" ca="1" si="55"/>
        <v>-0.05</v>
      </c>
      <c r="D866" s="103">
        <f t="shared" ca="1" si="56"/>
        <v>5431966</v>
      </c>
      <c r="E866" s="67">
        <f t="shared" ca="1" si="57"/>
        <v>-0.04</v>
      </c>
      <c r="F866" s="21"/>
    </row>
    <row r="867" spans="1:6" x14ac:dyDescent="0.3">
      <c r="A867" s="34">
        <v>863</v>
      </c>
      <c r="B867" s="103">
        <f t="shared" ca="1" si="58"/>
        <v>61474</v>
      </c>
      <c r="C867" s="67">
        <f t="shared" ca="1" si="55"/>
        <v>0.02</v>
      </c>
      <c r="D867" s="103">
        <f t="shared" ca="1" si="56"/>
        <v>5760050</v>
      </c>
      <c r="E867" s="67">
        <f t="shared" ca="1" si="57"/>
        <v>0.02</v>
      </c>
      <c r="F867" s="21"/>
    </row>
    <row r="868" spans="1:6" x14ac:dyDescent="0.3">
      <c r="A868" s="34">
        <v>864</v>
      </c>
      <c r="B868" s="103">
        <f t="shared" ca="1" si="58"/>
        <v>58570</v>
      </c>
      <c r="C868" s="67">
        <f t="shared" ca="1" si="55"/>
        <v>-0.03</v>
      </c>
      <c r="D868" s="103">
        <f t="shared" ca="1" si="56"/>
        <v>5654544</v>
      </c>
      <c r="E868" s="67">
        <f t="shared" ca="1" si="57"/>
        <v>0</v>
      </c>
      <c r="F868" s="21"/>
    </row>
    <row r="869" spans="1:6" x14ac:dyDescent="0.3">
      <c r="A869" s="34">
        <v>865</v>
      </c>
      <c r="B869" s="103">
        <f t="shared" ca="1" si="58"/>
        <v>59853</v>
      </c>
      <c r="C869" s="67">
        <f t="shared" ca="1" si="55"/>
        <v>-0.01</v>
      </c>
      <c r="D869" s="103">
        <f t="shared" ca="1" si="56"/>
        <v>5379829</v>
      </c>
      <c r="E869" s="67">
        <f t="shared" ca="1" si="57"/>
        <v>-0.05</v>
      </c>
      <c r="F869" s="21"/>
    </row>
    <row r="870" spans="1:6" x14ac:dyDescent="0.3">
      <c r="A870" s="34">
        <v>866</v>
      </c>
      <c r="B870" s="103">
        <f t="shared" ca="1" si="58"/>
        <v>59145</v>
      </c>
      <c r="C870" s="67">
        <f t="shared" ca="1" si="55"/>
        <v>-0.02</v>
      </c>
      <c r="D870" s="103">
        <f t="shared" ca="1" si="56"/>
        <v>5561558</v>
      </c>
      <c r="E870" s="67">
        <f t="shared" ca="1" si="57"/>
        <v>-0.01</v>
      </c>
      <c r="F870" s="21"/>
    </row>
    <row r="871" spans="1:6" x14ac:dyDescent="0.3">
      <c r="A871" s="34">
        <v>867</v>
      </c>
      <c r="B871" s="103">
        <f t="shared" ca="1" si="58"/>
        <v>58187</v>
      </c>
      <c r="C871" s="67">
        <f t="shared" ca="1" si="55"/>
        <v>-0.04</v>
      </c>
      <c r="D871" s="103">
        <f t="shared" ca="1" si="56"/>
        <v>5660708</v>
      </c>
      <c r="E871" s="67">
        <f t="shared" ca="1" si="57"/>
        <v>0.01</v>
      </c>
      <c r="F871" s="21"/>
    </row>
    <row r="872" spans="1:6" x14ac:dyDescent="0.3">
      <c r="A872" s="34">
        <v>868</v>
      </c>
      <c r="B872" s="103">
        <f t="shared" ca="1" si="58"/>
        <v>60958</v>
      </c>
      <c r="C872" s="67">
        <f t="shared" ca="1" si="55"/>
        <v>0.01</v>
      </c>
      <c r="D872" s="103">
        <f t="shared" ca="1" si="56"/>
        <v>5534652</v>
      </c>
      <c r="E872" s="67">
        <f t="shared" ca="1" si="57"/>
        <v>-0.02</v>
      </c>
      <c r="F872" s="21"/>
    </row>
    <row r="873" spans="1:6" x14ac:dyDescent="0.3">
      <c r="A873" s="34">
        <v>869</v>
      </c>
      <c r="B873" s="103">
        <f t="shared" ca="1" si="58"/>
        <v>60965</v>
      </c>
      <c r="C873" s="67">
        <f t="shared" ca="1" si="55"/>
        <v>0.01</v>
      </c>
      <c r="D873" s="103">
        <f t="shared" ca="1" si="56"/>
        <v>5475248</v>
      </c>
      <c r="E873" s="67">
        <f t="shared" ca="1" si="57"/>
        <v>-0.03</v>
      </c>
      <c r="F873" s="21"/>
    </row>
    <row r="874" spans="1:6" x14ac:dyDescent="0.3">
      <c r="A874" s="34">
        <v>870</v>
      </c>
      <c r="B874" s="103">
        <f t="shared" ca="1" si="58"/>
        <v>59404</v>
      </c>
      <c r="C874" s="67">
        <f t="shared" ca="1" si="55"/>
        <v>-0.01</v>
      </c>
      <c r="D874" s="103">
        <f t="shared" ca="1" si="56"/>
        <v>5534624</v>
      </c>
      <c r="E874" s="67">
        <f t="shared" ca="1" si="57"/>
        <v>-0.02</v>
      </c>
      <c r="F874" s="21"/>
    </row>
    <row r="875" spans="1:6" x14ac:dyDescent="0.3">
      <c r="A875" s="34">
        <v>871</v>
      </c>
      <c r="B875" s="103">
        <f t="shared" ca="1" si="58"/>
        <v>58329</v>
      </c>
      <c r="C875" s="67">
        <f t="shared" ca="1" si="55"/>
        <v>-0.03</v>
      </c>
      <c r="D875" s="103">
        <f t="shared" ca="1" si="56"/>
        <v>5460760</v>
      </c>
      <c r="E875" s="67">
        <f t="shared" ca="1" si="57"/>
        <v>-0.03</v>
      </c>
      <c r="F875" s="21"/>
    </row>
    <row r="876" spans="1:6" x14ac:dyDescent="0.3">
      <c r="A876" s="34">
        <v>872</v>
      </c>
      <c r="B876" s="103">
        <f t="shared" ca="1" si="58"/>
        <v>62571</v>
      </c>
      <c r="C876" s="67">
        <f t="shared" ca="1" si="55"/>
        <v>0.04</v>
      </c>
      <c r="D876" s="103">
        <f t="shared" ca="1" si="56"/>
        <v>5797908</v>
      </c>
      <c r="E876" s="67">
        <f t="shared" ca="1" si="57"/>
        <v>0.03</v>
      </c>
      <c r="F876" s="21"/>
    </row>
    <row r="877" spans="1:6" x14ac:dyDescent="0.3">
      <c r="A877" s="34">
        <v>873</v>
      </c>
      <c r="B877" s="103">
        <f t="shared" ca="1" si="58"/>
        <v>61063</v>
      </c>
      <c r="C877" s="67">
        <f t="shared" ca="1" si="55"/>
        <v>0.01</v>
      </c>
      <c r="D877" s="103">
        <f t="shared" ca="1" si="56"/>
        <v>5681290</v>
      </c>
      <c r="E877" s="67">
        <f t="shared" ca="1" si="57"/>
        <v>0.01</v>
      </c>
      <c r="F877" s="21"/>
    </row>
    <row r="878" spans="1:6" x14ac:dyDescent="0.3">
      <c r="A878" s="34">
        <v>874</v>
      </c>
      <c r="B878" s="103">
        <f t="shared" ca="1" si="58"/>
        <v>57307</v>
      </c>
      <c r="C878" s="67">
        <f t="shared" ca="1" si="55"/>
        <v>-0.05</v>
      </c>
      <c r="D878" s="103">
        <f t="shared" ca="1" si="56"/>
        <v>5783768</v>
      </c>
      <c r="E878" s="67">
        <f t="shared" ca="1" si="57"/>
        <v>0.03</v>
      </c>
      <c r="F878" s="21"/>
    </row>
    <row r="879" spans="1:6" x14ac:dyDescent="0.3">
      <c r="A879" s="34">
        <v>875</v>
      </c>
      <c r="B879" s="103">
        <f t="shared" ca="1" si="58"/>
        <v>62302</v>
      </c>
      <c r="C879" s="67">
        <f t="shared" ca="1" si="55"/>
        <v>0.03</v>
      </c>
      <c r="D879" s="103">
        <f t="shared" ca="1" si="56"/>
        <v>5683784</v>
      </c>
      <c r="E879" s="67">
        <f t="shared" ca="1" si="57"/>
        <v>0.01</v>
      </c>
      <c r="F879" s="21"/>
    </row>
    <row r="880" spans="1:6" x14ac:dyDescent="0.3">
      <c r="A880" s="34">
        <v>876</v>
      </c>
      <c r="B880" s="103">
        <f t="shared" ca="1" si="58"/>
        <v>57270</v>
      </c>
      <c r="C880" s="67">
        <f t="shared" ca="1" si="55"/>
        <v>-0.05</v>
      </c>
      <c r="D880" s="103">
        <f t="shared" ca="1" si="56"/>
        <v>5857801</v>
      </c>
      <c r="E880" s="67">
        <f t="shared" ca="1" si="57"/>
        <v>0.04</v>
      </c>
      <c r="F880" s="21"/>
    </row>
    <row r="881" spans="1:6" x14ac:dyDescent="0.3">
      <c r="A881" s="34">
        <v>877</v>
      </c>
      <c r="B881" s="103">
        <f t="shared" ca="1" si="58"/>
        <v>59146</v>
      </c>
      <c r="C881" s="67">
        <f t="shared" ca="1" si="55"/>
        <v>-0.02</v>
      </c>
      <c r="D881" s="103">
        <f t="shared" ca="1" si="56"/>
        <v>5444174</v>
      </c>
      <c r="E881" s="67">
        <f t="shared" ca="1" si="57"/>
        <v>-0.03</v>
      </c>
      <c r="F881" s="21"/>
    </row>
    <row r="882" spans="1:6" x14ac:dyDescent="0.3">
      <c r="A882" s="34">
        <v>878</v>
      </c>
      <c r="B882" s="103">
        <f t="shared" ca="1" si="58"/>
        <v>58307</v>
      </c>
      <c r="C882" s="67">
        <f t="shared" ca="1" si="55"/>
        <v>-0.03</v>
      </c>
      <c r="D882" s="103">
        <f t="shared" ca="1" si="56"/>
        <v>5776400</v>
      </c>
      <c r="E882" s="67">
        <f t="shared" ca="1" si="57"/>
        <v>0.03</v>
      </c>
      <c r="F882" s="21"/>
    </row>
    <row r="883" spans="1:6" x14ac:dyDescent="0.3">
      <c r="A883" s="34">
        <v>879</v>
      </c>
      <c r="B883" s="103">
        <f t="shared" ca="1" si="58"/>
        <v>58346</v>
      </c>
      <c r="C883" s="67">
        <f t="shared" ca="1" si="55"/>
        <v>-0.03</v>
      </c>
      <c r="D883" s="103">
        <f t="shared" ca="1" si="56"/>
        <v>5347285</v>
      </c>
      <c r="E883" s="67">
        <f t="shared" ca="1" si="57"/>
        <v>-0.05</v>
      </c>
      <c r="F883" s="21"/>
    </row>
    <row r="884" spans="1:6" x14ac:dyDescent="0.3">
      <c r="A884" s="34">
        <v>880</v>
      </c>
      <c r="B884" s="103">
        <f t="shared" ca="1" si="58"/>
        <v>59322</v>
      </c>
      <c r="C884" s="67">
        <f t="shared" ca="1" si="55"/>
        <v>-0.02</v>
      </c>
      <c r="D884" s="103">
        <f t="shared" ca="1" si="56"/>
        <v>5804490</v>
      </c>
      <c r="E884" s="67">
        <f t="shared" ca="1" si="57"/>
        <v>0.03</v>
      </c>
      <c r="F884" s="21"/>
    </row>
    <row r="885" spans="1:6" x14ac:dyDescent="0.3">
      <c r="A885" s="34">
        <v>881</v>
      </c>
      <c r="B885" s="103">
        <f t="shared" ca="1" si="58"/>
        <v>60389</v>
      </c>
      <c r="C885" s="67">
        <f t="shared" ca="1" si="55"/>
        <v>0</v>
      </c>
      <c r="D885" s="103">
        <f t="shared" ca="1" si="56"/>
        <v>5413786</v>
      </c>
      <c r="E885" s="67">
        <f t="shared" ca="1" si="57"/>
        <v>-0.04</v>
      </c>
      <c r="F885" s="21"/>
    </row>
    <row r="886" spans="1:6" x14ac:dyDescent="0.3">
      <c r="A886" s="34">
        <v>882</v>
      </c>
      <c r="B886" s="103">
        <f t="shared" ca="1" si="58"/>
        <v>59129</v>
      </c>
      <c r="C886" s="67">
        <f t="shared" ca="1" si="55"/>
        <v>-0.02</v>
      </c>
      <c r="D886" s="103">
        <f t="shared" ca="1" si="56"/>
        <v>5390077</v>
      </c>
      <c r="E886" s="67">
        <f t="shared" ca="1" si="57"/>
        <v>-0.04</v>
      </c>
      <c r="F886" s="21"/>
    </row>
    <row r="887" spans="1:6" x14ac:dyDescent="0.3">
      <c r="A887" s="34">
        <v>883</v>
      </c>
      <c r="B887" s="103">
        <f t="shared" ca="1" si="58"/>
        <v>58615</v>
      </c>
      <c r="C887" s="67">
        <f t="shared" ca="1" si="55"/>
        <v>-0.03</v>
      </c>
      <c r="D887" s="103">
        <f t="shared" ca="1" si="56"/>
        <v>5729241</v>
      </c>
      <c r="E887" s="67">
        <f t="shared" ca="1" si="57"/>
        <v>0.02</v>
      </c>
      <c r="F887" s="21"/>
    </row>
    <row r="888" spans="1:6" x14ac:dyDescent="0.3">
      <c r="A888" s="34">
        <v>884</v>
      </c>
      <c r="B888" s="103">
        <f t="shared" ca="1" si="58"/>
        <v>60187</v>
      </c>
      <c r="C888" s="67">
        <f t="shared" ca="1" si="55"/>
        <v>0</v>
      </c>
      <c r="D888" s="103">
        <f t="shared" ca="1" si="56"/>
        <v>5393153</v>
      </c>
      <c r="E888" s="67">
        <f t="shared" ca="1" si="57"/>
        <v>-0.04</v>
      </c>
      <c r="F888" s="21"/>
    </row>
    <row r="889" spans="1:6" x14ac:dyDescent="0.3">
      <c r="A889" s="34">
        <v>885</v>
      </c>
      <c r="B889" s="103">
        <f t="shared" ca="1" si="58"/>
        <v>57820</v>
      </c>
      <c r="C889" s="67">
        <f t="shared" ca="1" si="55"/>
        <v>-0.04</v>
      </c>
      <c r="D889" s="103">
        <f t="shared" ca="1" si="56"/>
        <v>5634657</v>
      </c>
      <c r="E889" s="67">
        <f t="shared" ca="1" si="57"/>
        <v>0</v>
      </c>
      <c r="F889" s="21"/>
    </row>
    <row r="890" spans="1:6" x14ac:dyDescent="0.3">
      <c r="A890" s="34">
        <v>886</v>
      </c>
      <c r="B890" s="103">
        <f t="shared" ca="1" si="58"/>
        <v>62851</v>
      </c>
      <c r="C890" s="67">
        <f t="shared" ca="1" si="55"/>
        <v>0.04</v>
      </c>
      <c r="D890" s="103">
        <f t="shared" ca="1" si="56"/>
        <v>5749132</v>
      </c>
      <c r="E890" s="67">
        <f t="shared" ca="1" si="57"/>
        <v>0.02</v>
      </c>
      <c r="F890" s="21"/>
    </row>
    <row r="891" spans="1:6" x14ac:dyDescent="0.3">
      <c r="A891" s="34">
        <v>887</v>
      </c>
      <c r="B891" s="103">
        <f t="shared" ca="1" si="58"/>
        <v>60164</v>
      </c>
      <c r="C891" s="67">
        <f t="shared" ca="1" si="55"/>
        <v>0</v>
      </c>
      <c r="D891" s="103">
        <f t="shared" ca="1" si="56"/>
        <v>5596717</v>
      </c>
      <c r="E891" s="67">
        <f t="shared" ca="1" si="57"/>
        <v>-0.01</v>
      </c>
      <c r="F891" s="21"/>
    </row>
    <row r="892" spans="1:6" x14ac:dyDescent="0.3">
      <c r="A892" s="34">
        <v>888</v>
      </c>
      <c r="B892" s="103">
        <f t="shared" ca="1" si="58"/>
        <v>59819</v>
      </c>
      <c r="C892" s="67">
        <f t="shared" ca="1" si="55"/>
        <v>-0.01</v>
      </c>
      <c r="D892" s="103">
        <f t="shared" ca="1" si="56"/>
        <v>5875334</v>
      </c>
      <c r="E892" s="67">
        <f t="shared" ca="1" si="57"/>
        <v>0.04</v>
      </c>
      <c r="F892" s="21"/>
    </row>
    <row r="893" spans="1:6" x14ac:dyDescent="0.3">
      <c r="A893" s="34">
        <v>889</v>
      </c>
      <c r="B893" s="103">
        <f t="shared" ca="1" si="58"/>
        <v>62952</v>
      </c>
      <c r="C893" s="67">
        <f t="shared" ca="1" si="55"/>
        <v>0.04</v>
      </c>
      <c r="D893" s="103">
        <f t="shared" ca="1" si="56"/>
        <v>5437763</v>
      </c>
      <c r="E893" s="67">
        <f t="shared" ca="1" si="57"/>
        <v>-0.03</v>
      </c>
      <c r="F893" s="21"/>
    </row>
    <row r="894" spans="1:6" x14ac:dyDescent="0.3">
      <c r="A894" s="34">
        <v>890</v>
      </c>
      <c r="B894" s="103">
        <f t="shared" ca="1" si="58"/>
        <v>61978</v>
      </c>
      <c r="C894" s="67">
        <f t="shared" ca="1" si="55"/>
        <v>0.03</v>
      </c>
      <c r="D894" s="103">
        <f t="shared" ca="1" si="56"/>
        <v>5768883</v>
      </c>
      <c r="E894" s="67">
        <f t="shared" ca="1" si="57"/>
        <v>0.02</v>
      </c>
      <c r="F894" s="21"/>
    </row>
    <row r="895" spans="1:6" x14ac:dyDescent="0.3">
      <c r="A895" s="34">
        <v>891</v>
      </c>
      <c r="B895" s="103">
        <f t="shared" ca="1" si="58"/>
        <v>57108</v>
      </c>
      <c r="C895" s="67">
        <f t="shared" ca="1" si="55"/>
        <v>-0.05</v>
      </c>
      <c r="D895" s="103">
        <f t="shared" ca="1" si="56"/>
        <v>5786720</v>
      </c>
      <c r="E895" s="67">
        <f t="shared" ca="1" si="57"/>
        <v>0.03</v>
      </c>
      <c r="F895" s="21"/>
    </row>
    <row r="896" spans="1:6" x14ac:dyDescent="0.3">
      <c r="A896" s="34">
        <v>892</v>
      </c>
      <c r="B896" s="103">
        <f t="shared" ca="1" si="58"/>
        <v>62915</v>
      </c>
      <c r="C896" s="67">
        <f t="shared" ca="1" si="55"/>
        <v>0.04</v>
      </c>
      <c r="D896" s="103">
        <f t="shared" ca="1" si="56"/>
        <v>5647292</v>
      </c>
      <c r="E896" s="67">
        <f t="shared" ca="1" si="57"/>
        <v>0</v>
      </c>
      <c r="F896" s="21"/>
    </row>
    <row r="897" spans="1:6" x14ac:dyDescent="0.3">
      <c r="A897" s="34">
        <v>893</v>
      </c>
      <c r="B897" s="103">
        <f t="shared" ca="1" si="58"/>
        <v>62707</v>
      </c>
      <c r="C897" s="67">
        <f t="shared" ca="1" si="55"/>
        <v>0.04</v>
      </c>
      <c r="D897" s="103">
        <f t="shared" ca="1" si="56"/>
        <v>5337635</v>
      </c>
      <c r="E897" s="67">
        <f t="shared" ca="1" si="57"/>
        <v>-0.05</v>
      </c>
      <c r="F897" s="21"/>
    </row>
    <row r="898" spans="1:6" x14ac:dyDescent="0.3">
      <c r="A898" s="34">
        <v>894</v>
      </c>
      <c r="B898" s="103">
        <f t="shared" ca="1" si="58"/>
        <v>58485</v>
      </c>
      <c r="C898" s="67">
        <f t="shared" ca="1" si="55"/>
        <v>-0.03</v>
      </c>
      <c r="D898" s="103">
        <f t="shared" ca="1" si="56"/>
        <v>5765040</v>
      </c>
      <c r="E898" s="67">
        <f t="shared" ca="1" si="57"/>
        <v>0.02</v>
      </c>
      <c r="F898" s="21"/>
    </row>
    <row r="899" spans="1:6" x14ac:dyDescent="0.3">
      <c r="A899" s="34">
        <v>895</v>
      </c>
      <c r="B899" s="103">
        <f t="shared" ca="1" si="58"/>
        <v>57423</v>
      </c>
      <c r="C899" s="67">
        <f t="shared" ca="1" si="55"/>
        <v>-0.05</v>
      </c>
      <c r="D899" s="103">
        <f t="shared" ca="1" si="56"/>
        <v>5612682</v>
      </c>
      <c r="E899" s="67">
        <f t="shared" ca="1" si="57"/>
        <v>0</v>
      </c>
      <c r="F899" s="21"/>
    </row>
    <row r="900" spans="1:6" x14ac:dyDescent="0.3">
      <c r="A900" s="34">
        <v>896</v>
      </c>
      <c r="B900" s="103">
        <f t="shared" ca="1" si="58"/>
        <v>60843</v>
      </c>
      <c r="C900" s="67">
        <f t="shared" ca="1" si="55"/>
        <v>0.01</v>
      </c>
      <c r="D900" s="103">
        <f t="shared" ca="1" si="56"/>
        <v>5838726</v>
      </c>
      <c r="E900" s="67">
        <f t="shared" ca="1" si="57"/>
        <v>0.04</v>
      </c>
      <c r="F900" s="21"/>
    </row>
    <row r="901" spans="1:6" x14ac:dyDescent="0.3">
      <c r="A901" s="34">
        <v>897</v>
      </c>
      <c r="B901" s="103">
        <f t="shared" ca="1" si="58"/>
        <v>59712</v>
      </c>
      <c r="C901" s="67">
        <f t="shared" ref="C901:C964" ca="1" si="59">_xlfn.XLOOKUP(B901,selling_price_range,Range,"",-1)</f>
        <v>-0.01</v>
      </c>
      <c r="D901" s="103">
        <f t="shared" ref="D901:D964" ca="1" si="60">RANDBETWEEN($P$5*(1+$G$5),$P$5*(1+$G$15))</f>
        <v>5762805</v>
      </c>
      <c r="E901" s="67">
        <f t="shared" ref="E901:E964" ca="1" si="61">_xlfn.XLOOKUP(D901,expenses_range,Range,"",-1)</f>
        <v>0.02</v>
      </c>
      <c r="F901" s="21"/>
    </row>
    <row r="902" spans="1:6" x14ac:dyDescent="0.3">
      <c r="A902" s="34">
        <v>898</v>
      </c>
      <c r="B902" s="103">
        <f t="shared" ref="B902:B965" ca="1" si="62">RANDBETWEEN($P$4*(1+$G$5),$P$4*(1+$G$15))</f>
        <v>58374</v>
      </c>
      <c r="C902" s="67">
        <f t="shared" ca="1" si="59"/>
        <v>-0.03</v>
      </c>
      <c r="D902" s="103">
        <f t="shared" ca="1" si="60"/>
        <v>5576627</v>
      </c>
      <c r="E902" s="67">
        <f t="shared" ca="1" si="61"/>
        <v>-0.01</v>
      </c>
      <c r="F902" s="21"/>
    </row>
    <row r="903" spans="1:6" x14ac:dyDescent="0.3">
      <c r="A903" s="34">
        <v>899</v>
      </c>
      <c r="B903" s="103">
        <f t="shared" ca="1" si="62"/>
        <v>58417</v>
      </c>
      <c r="C903" s="67">
        <f t="shared" ca="1" si="59"/>
        <v>-0.03</v>
      </c>
      <c r="D903" s="103">
        <f t="shared" ca="1" si="60"/>
        <v>5444628</v>
      </c>
      <c r="E903" s="67">
        <f t="shared" ca="1" si="61"/>
        <v>-0.03</v>
      </c>
      <c r="F903" s="21"/>
    </row>
    <row r="904" spans="1:6" x14ac:dyDescent="0.3">
      <c r="A904" s="34">
        <v>900</v>
      </c>
      <c r="B904" s="103">
        <f t="shared" ca="1" si="62"/>
        <v>58940</v>
      </c>
      <c r="C904" s="67">
        <f t="shared" ca="1" si="59"/>
        <v>-0.02</v>
      </c>
      <c r="D904" s="103">
        <f t="shared" ca="1" si="60"/>
        <v>5564890</v>
      </c>
      <c r="E904" s="67">
        <f t="shared" ca="1" si="61"/>
        <v>-0.01</v>
      </c>
      <c r="F904" s="21"/>
    </row>
    <row r="905" spans="1:6" x14ac:dyDescent="0.3">
      <c r="A905" s="34">
        <v>901</v>
      </c>
      <c r="B905" s="103">
        <f t="shared" ca="1" si="62"/>
        <v>62033</v>
      </c>
      <c r="C905" s="67">
        <f t="shared" ca="1" si="59"/>
        <v>0.03</v>
      </c>
      <c r="D905" s="103">
        <f t="shared" ca="1" si="60"/>
        <v>5527579</v>
      </c>
      <c r="E905" s="67">
        <f t="shared" ca="1" si="61"/>
        <v>-0.02</v>
      </c>
      <c r="F905" s="21"/>
    </row>
    <row r="906" spans="1:6" x14ac:dyDescent="0.3">
      <c r="A906" s="34">
        <v>902</v>
      </c>
      <c r="B906" s="103">
        <f t="shared" ca="1" si="62"/>
        <v>58049</v>
      </c>
      <c r="C906" s="67">
        <f t="shared" ca="1" si="59"/>
        <v>-0.04</v>
      </c>
      <c r="D906" s="103">
        <f t="shared" ca="1" si="60"/>
        <v>5483924</v>
      </c>
      <c r="E906" s="67">
        <f t="shared" ca="1" si="61"/>
        <v>-0.03</v>
      </c>
      <c r="F906" s="21"/>
    </row>
    <row r="907" spans="1:6" x14ac:dyDescent="0.3">
      <c r="A907" s="34">
        <v>903</v>
      </c>
      <c r="B907" s="103">
        <f t="shared" ca="1" si="62"/>
        <v>60310</v>
      </c>
      <c r="C907" s="67">
        <f t="shared" ca="1" si="59"/>
        <v>0</v>
      </c>
      <c r="D907" s="103">
        <f t="shared" ca="1" si="60"/>
        <v>5880022</v>
      </c>
      <c r="E907" s="67">
        <f t="shared" ca="1" si="61"/>
        <v>0.04</v>
      </c>
      <c r="F907" s="21"/>
    </row>
    <row r="908" spans="1:6" x14ac:dyDescent="0.3">
      <c r="A908" s="34">
        <v>904</v>
      </c>
      <c r="B908" s="103">
        <f t="shared" ca="1" si="62"/>
        <v>61960</v>
      </c>
      <c r="C908" s="67">
        <f t="shared" ca="1" si="59"/>
        <v>0.03</v>
      </c>
      <c r="D908" s="103">
        <f t="shared" ca="1" si="60"/>
        <v>5715376</v>
      </c>
      <c r="E908" s="67">
        <f t="shared" ca="1" si="61"/>
        <v>0.01</v>
      </c>
      <c r="F908" s="21"/>
    </row>
    <row r="909" spans="1:6" x14ac:dyDescent="0.3">
      <c r="A909" s="34">
        <v>905</v>
      </c>
      <c r="B909" s="103">
        <f t="shared" ca="1" si="62"/>
        <v>57855</v>
      </c>
      <c r="C909" s="67">
        <f t="shared" ca="1" si="59"/>
        <v>-0.04</v>
      </c>
      <c r="D909" s="103">
        <f t="shared" ca="1" si="60"/>
        <v>5449881</v>
      </c>
      <c r="E909" s="67">
        <f t="shared" ca="1" si="61"/>
        <v>-0.03</v>
      </c>
      <c r="F909" s="21"/>
    </row>
    <row r="910" spans="1:6" x14ac:dyDescent="0.3">
      <c r="A910" s="34">
        <v>906</v>
      </c>
      <c r="B910" s="103">
        <f t="shared" ca="1" si="62"/>
        <v>59562</v>
      </c>
      <c r="C910" s="67">
        <f t="shared" ca="1" si="59"/>
        <v>-0.01</v>
      </c>
      <c r="D910" s="103">
        <f t="shared" ca="1" si="60"/>
        <v>5832943</v>
      </c>
      <c r="E910" s="67">
        <f t="shared" ca="1" si="61"/>
        <v>0.04</v>
      </c>
      <c r="F910" s="21"/>
    </row>
    <row r="911" spans="1:6" x14ac:dyDescent="0.3">
      <c r="A911" s="34">
        <v>907</v>
      </c>
      <c r="B911" s="103">
        <f t="shared" ca="1" si="62"/>
        <v>60402</v>
      </c>
      <c r="C911" s="67">
        <f t="shared" ca="1" si="59"/>
        <v>0</v>
      </c>
      <c r="D911" s="103">
        <f t="shared" ca="1" si="60"/>
        <v>5801887</v>
      </c>
      <c r="E911" s="67">
        <f t="shared" ca="1" si="61"/>
        <v>0.03</v>
      </c>
      <c r="F911" s="21"/>
    </row>
    <row r="912" spans="1:6" x14ac:dyDescent="0.3">
      <c r="A912" s="34">
        <v>908</v>
      </c>
      <c r="B912" s="103">
        <f t="shared" ca="1" si="62"/>
        <v>58870</v>
      </c>
      <c r="C912" s="67">
        <f t="shared" ca="1" si="59"/>
        <v>-0.02</v>
      </c>
      <c r="D912" s="103">
        <f t="shared" ca="1" si="60"/>
        <v>5349057</v>
      </c>
      <c r="E912" s="67">
        <f t="shared" ca="1" si="61"/>
        <v>-0.05</v>
      </c>
      <c r="F912" s="21"/>
    </row>
    <row r="913" spans="1:6" x14ac:dyDescent="0.3">
      <c r="A913" s="34">
        <v>909</v>
      </c>
      <c r="B913" s="103">
        <f t="shared" ca="1" si="62"/>
        <v>62983</v>
      </c>
      <c r="C913" s="67">
        <f t="shared" ca="1" si="59"/>
        <v>0.04</v>
      </c>
      <c r="D913" s="103">
        <f t="shared" ca="1" si="60"/>
        <v>5595674</v>
      </c>
      <c r="E913" s="67">
        <f t="shared" ca="1" si="61"/>
        <v>-0.01</v>
      </c>
      <c r="F913" s="21"/>
    </row>
    <row r="914" spans="1:6" x14ac:dyDescent="0.3">
      <c r="A914" s="34">
        <v>910</v>
      </c>
      <c r="B914" s="103">
        <f t="shared" ca="1" si="62"/>
        <v>60878</v>
      </c>
      <c r="C914" s="67">
        <f t="shared" ca="1" si="59"/>
        <v>0.01</v>
      </c>
      <c r="D914" s="103">
        <f t="shared" ca="1" si="60"/>
        <v>5458030</v>
      </c>
      <c r="E914" s="67">
        <f t="shared" ca="1" si="61"/>
        <v>-0.03</v>
      </c>
      <c r="F914" s="21"/>
    </row>
    <row r="915" spans="1:6" x14ac:dyDescent="0.3">
      <c r="A915" s="34">
        <v>911</v>
      </c>
      <c r="B915" s="103">
        <f t="shared" ca="1" si="62"/>
        <v>61196</v>
      </c>
      <c r="C915" s="67">
        <f t="shared" ca="1" si="59"/>
        <v>0.01</v>
      </c>
      <c r="D915" s="103">
        <f t="shared" ca="1" si="60"/>
        <v>5530173</v>
      </c>
      <c r="E915" s="67">
        <f t="shared" ca="1" si="61"/>
        <v>-0.02</v>
      </c>
      <c r="F915" s="21"/>
    </row>
    <row r="916" spans="1:6" x14ac:dyDescent="0.3">
      <c r="A916" s="34">
        <v>912</v>
      </c>
      <c r="B916" s="103">
        <f t="shared" ca="1" si="62"/>
        <v>59079</v>
      </c>
      <c r="C916" s="67">
        <f t="shared" ca="1" si="59"/>
        <v>-0.02</v>
      </c>
      <c r="D916" s="103">
        <f t="shared" ca="1" si="60"/>
        <v>5870930</v>
      </c>
      <c r="E916" s="67">
        <f t="shared" ca="1" si="61"/>
        <v>0.04</v>
      </c>
      <c r="F916" s="21"/>
    </row>
    <row r="917" spans="1:6" x14ac:dyDescent="0.3">
      <c r="A917" s="34">
        <v>913</v>
      </c>
      <c r="B917" s="103">
        <f t="shared" ca="1" si="62"/>
        <v>61428</v>
      </c>
      <c r="C917" s="67">
        <f t="shared" ca="1" si="59"/>
        <v>0.02</v>
      </c>
      <c r="D917" s="103">
        <f t="shared" ca="1" si="60"/>
        <v>5384122</v>
      </c>
      <c r="E917" s="67">
        <f t="shared" ca="1" si="61"/>
        <v>-0.04</v>
      </c>
      <c r="F917" s="21"/>
    </row>
    <row r="918" spans="1:6" x14ac:dyDescent="0.3">
      <c r="A918" s="34">
        <v>914</v>
      </c>
      <c r="B918" s="103">
        <f t="shared" ca="1" si="62"/>
        <v>61319</v>
      </c>
      <c r="C918" s="67">
        <f t="shared" ca="1" si="59"/>
        <v>0.02</v>
      </c>
      <c r="D918" s="103">
        <f t="shared" ca="1" si="60"/>
        <v>5686792</v>
      </c>
      <c r="E918" s="67">
        <f t="shared" ca="1" si="61"/>
        <v>0.01</v>
      </c>
      <c r="F918" s="21"/>
    </row>
    <row r="919" spans="1:6" x14ac:dyDescent="0.3">
      <c r="A919" s="34">
        <v>915</v>
      </c>
      <c r="B919" s="103">
        <f t="shared" ca="1" si="62"/>
        <v>61787</v>
      </c>
      <c r="C919" s="67">
        <f t="shared" ca="1" si="59"/>
        <v>0.02</v>
      </c>
      <c r="D919" s="103">
        <f t="shared" ca="1" si="60"/>
        <v>5746314</v>
      </c>
      <c r="E919" s="67">
        <f t="shared" ca="1" si="61"/>
        <v>0.02</v>
      </c>
      <c r="F919" s="21"/>
    </row>
    <row r="920" spans="1:6" x14ac:dyDescent="0.3">
      <c r="A920" s="34">
        <v>916</v>
      </c>
      <c r="B920" s="103">
        <f t="shared" ca="1" si="62"/>
        <v>58712</v>
      </c>
      <c r="C920" s="67">
        <f t="shared" ca="1" si="59"/>
        <v>-0.03</v>
      </c>
      <c r="D920" s="103">
        <f t="shared" ca="1" si="60"/>
        <v>5432184</v>
      </c>
      <c r="E920" s="67">
        <f t="shared" ca="1" si="61"/>
        <v>-0.04</v>
      </c>
      <c r="F920" s="21"/>
    </row>
    <row r="921" spans="1:6" x14ac:dyDescent="0.3">
      <c r="A921" s="34">
        <v>917</v>
      </c>
      <c r="B921" s="103">
        <f t="shared" ca="1" si="62"/>
        <v>61399</v>
      </c>
      <c r="C921" s="67">
        <f t="shared" ca="1" si="59"/>
        <v>0.02</v>
      </c>
      <c r="D921" s="103">
        <f t="shared" ca="1" si="60"/>
        <v>5658846</v>
      </c>
      <c r="E921" s="67">
        <f t="shared" ca="1" si="61"/>
        <v>0</v>
      </c>
      <c r="F921" s="21"/>
    </row>
    <row r="922" spans="1:6" x14ac:dyDescent="0.3">
      <c r="A922" s="34">
        <v>918</v>
      </c>
      <c r="B922" s="103">
        <f t="shared" ca="1" si="62"/>
        <v>60992</v>
      </c>
      <c r="C922" s="67">
        <f t="shared" ca="1" si="59"/>
        <v>0.01</v>
      </c>
      <c r="D922" s="103">
        <f t="shared" ca="1" si="60"/>
        <v>5771286</v>
      </c>
      <c r="E922" s="67">
        <f t="shared" ca="1" si="61"/>
        <v>0.02</v>
      </c>
      <c r="F922" s="21"/>
    </row>
    <row r="923" spans="1:6" x14ac:dyDescent="0.3">
      <c r="A923" s="34">
        <v>919</v>
      </c>
      <c r="B923" s="103">
        <f t="shared" ca="1" si="62"/>
        <v>59132</v>
      </c>
      <c r="C923" s="67">
        <f t="shared" ca="1" si="59"/>
        <v>-0.02</v>
      </c>
      <c r="D923" s="103">
        <f t="shared" ca="1" si="60"/>
        <v>5762252</v>
      </c>
      <c r="E923" s="67">
        <f t="shared" ca="1" si="61"/>
        <v>0.02</v>
      </c>
      <c r="F923" s="21"/>
    </row>
    <row r="924" spans="1:6" x14ac:dyDescent="0.3">
      <c r="A924" s="34">
        <v>920</v>
      </c>
      <c r="B924" s="103">
        <f t="shared" ca="1" si="62"/>
        <v>61502</v>
      </c>
      <c r="C924" s="67">
        <f t="shared" ca="1" si="59"/>
        <v>0.02</v>
      </c>
      <c r="D924" s="103">
        <f t="shared" ca="1" si="60"/>
        <v>5880801</v>
      </c>
      <c r="E924" s="67">
        <f t="shared" ca="1" si="61"/>
        <v>0.04</v>
      </c>
      <c r="F924" s="21"/>
    </row>
    <row r="925" spans="1:6" x14ac:dyDescent="0.3">
      <c r="A925" s="34">
        <v>921</v>
      </c>
      <c r="B925" s="103">
        <f t="shared" ca="1" si="62"/>
        <v>59788</v>
      </c>
      <c r="C925" s="67">
        <f t="shared" ca="1" si="59"/>
        <v>-0.01</v>
      </c>
      <c r="D925" s="103">
        <f t="shared" ca="1" si="60"/>
        <v>5432375</v>
      </c>
      <c r="E925" s="67">
        <f t="shared" ca="1" si="61"/>
        <v>-0.04</v>
      </c>
      <c r="F925" s="21"/>
    </row>
    <row r="926" spans="1:6" x14ac:dyDescent="0.3">
      <c r="A926" s="34">
        <v>922</v>
      </c>
      <c r="B926" s="103">
        <f t="shared" ca="1" si="62"/>
        <v>58466</v>
      </c>
      <c r="C926" s="67">
        <f t="shared" ca="1" si="59"/>
        <v>-0.03</v>
      </c>
      <c r="D926" s="103">
        <f t="shared" ca="1" si="60"/>
        <v>5522173</v>
      </c>
      <c r="E926" s="67">
        <f t="shared" ca="1" si="61"/>
        <v>-0.02</v>
      </c>
      <c r="F926" s="21"/>
    </row>
    <row r="927" spans="1:6" x14ac:dyDescent="0.3">
      <c r="A927" s="34">
        <v>923</v>
      </c>
      <c r="B927" s="103">
        <f t="shared" ca="1" si="62"/>
        <v>57979</v>
      </c>
      <c r="C927" s="67">
        <f t="shared" ca="1" si="59"/>
        <v>-0.04</v>
      </c>
      <c r="D927" s="103">
        <f t="shared" ca="1" si="60"/>
        <v>5637082</v>
      </c>
      <c r="E927" s="67">
        <f t="shared" ca="1" si="61"/>
        <v>0</v>
      </c>
      <c r="F927" s="21"/>
    </row>
    <row r="928" spans="1:6" x14ac:dyDescent="0.3">
      <c r="A928" s="34">
        <v>924</v>
      </c>
      <c r="B928" s="103">
        <f t="shared" ca="1" si="62"/>
        <v>61737</v>
      </c>
      <c r="C928" s="67">
        <f t="shared" ca="1" si="59"/>
        <v>0.02</v>
      </c>
      <c r="D928" s="103">
        <f t="shared" ca="1" si="60"/>
        <v>5388864</v>
      </c>
      <c r="E928" s="67">
        <f t="shared" ca="1" si="61"/>
        <v>-0.04</v>
      </c>
      <c r="F928" s="21"/>
    </row>
    <row r="929" spans="1:6" x14ac:dyDescent="0.3">
      <c r="A929" s="34">
        <v>925</v>
      </c>
      <c r="B929" s="103">
        <f t="shared" ca="1" si="62"/>
        <v>62361</v>
      </c>
      <c r="C929" s="67">
        <f t="shared" ca="1" si="59"/>
        <v>0.03</v>
      </c>
      <c r="D929" s="103">
        <f t="shared" ca="1" si="60"/>
        <v>5623609</v>
      </c>
      <c r="E929" s="67">
        <f t="shared" ca="1" si="61"/>
        <v>0</v>
      </c>
      <c r="F929" s="21"/>
    </row>
    <row r="930" spans="1:6" x14ac:dyDescent="0.3">
      <c r="A930" s="34">
        <v>926</v>
      </c>
      <c r="B930" s="103">
        <f t="shared" ca="1" si="62"/>
        <v>62218</v>
      </c>
      <c r="C930" s="67">
        <f t="shared" ca="1" si="59"/>
        <v>0.03</v>
      </c>
      <c r="D930" s="103">
        <f t="shared" ca="1" si="60"/>
        <v>5583962</v>
      </c>
      <c r="E930" s="67">
        <f t="shared" ca="1" si="61"/>
        <v>-0.01</v>
      </c>
      <c r="F930" s="21"/>
    </row>
    <row r="931" spans="1:6" x14ac:dyDescent="0.3">
      <c r="A931" s="34">
        <v>927</v>
      </c>
      <c r="B931" s="103">
        <f t="shared" ca="1" si="62"/>
        <v>62643</v>
      </c>
      <c r="C931" s="67">
        <f t="shared" ca="1" si="59"/>
        <v>0.04</v>
      </c>
      <c r="D931" s="103">
        <f t="shared" ca="1" si="60"/>
        <v>5764951</v>
      </c>
      <c r="E931" s="67">
        <f t="shared" ca="1" si="61"/>
        <v>0.02</v>
      </c>
      <c r="F931" s="21"/>
    </row>
    <row r="932" spans="1:6" x14ac:dyDescent="0.3">
      <c r="A932" s="34">
        <v>928</v>
      </c>
      <c r="B932" s="103">
        <f t="shared" ca="1" si="62"/>
        <v>58306</v>
      </c>
      <c r="C932" s="67">
        <f t="shared" ca="1" si="59"/>
        <v>-0.03</v>
      </c>
      <c r="D932" s="103">
        <f t="shared" ca="1" si="60"/>
        <v>5597031</v>
      </c>
      <c r="E932" s="67">
        <f t="shared" ca="1" si="61"/>
        <v>-0.01</v>
      </c>
      <c r="F932" s="21"/>
    </row>
    <row r="933" spans="1:6" x14ac:dyDescent="0.3">
      <c r="A933" s="34">
        <v>929</v>
      </c>
      <c r="B933" s="103">
        <f t="shared" ca="1" si="62"/>
        <v>62439</v>
      </c>
      <c r="C933" s="67">
        <f t="shared" ca="1" si="59"/>
        <v>0.04</v>
      </c>
      <c r="D933" s="103">
        <f t="shared" ca="1" si="60"/>
        <v>5343819</v>
      </c>
      <c r="E933" s="67">
        <f t="shared" ca="1" si="61"/>
        <v>-0.05</v>
      </c>
      <c r="F933" s="21"/>
    </row>
    <row r="934" spans="1:6" x14ac:dyDescent="0.3">
      <c r="A934" s="34">
        <v>930</v>
      </c>
      <c r="B934" s="103">
        <f t="shared" ca="1" si="62"/>
        <v>59864</v>
      </c>
      <c r="C934" s="67">
        <f t="shared" ca="1" si="59"/>
        <v>-0.01</v>
      </c>
      <c r="D934" s="103">
        <f t="shared" ca="1" si="60"/>
        <v>5755227</v>
      </c>
      <c r="E934" s="67">
        <f t="shared" ca="1" si="61"/>
        <v>0.02</v>
      </c>
      <c r="F934" s="21"/>
    </row>
    <row r="935" spans="1:6" x14ac:dyDescent="0.3">
      <c r="A935" s="34">
        <v>931</v>
      </c>
      <c r="B935" s="103">
        <f t="shared" ca="1" si="62"/>
        <v>58691</v>
      </c>
      <c r="C935" s="67">
        <f t="shared" ca="1" si="59"/>
        <v>-0.03</v>
      </c>
      <c r="D935" s="103">
        <f t="shared" ca="1" si="60"/>
        <v>5793388</v>
      </c>
      <c r="E935" s="67">
        <f t="shared" ca="1" si="61"/>
        <v>0.03</v>
      </c>
      <c r="F935" s="21"/>
    </row>
    <row r="936" spans="1:6" x14ac:dyDescent="0.3">
      <c r="A936" s="34">
        <v>932</v>
      </c>
      <c r="B936" s="103">
        <f t="shared" ca="1" si="62"/>
        <v>61685</v>
      </c>
      <c r="C936" s="67">
        <f t="shared" ca="1" si="59"/>
        <v>0.02</v>
      </c>
      <c r="D936" s="103">
        <f t="shared" ca="1" si="60"/>
        <v>5867903</v>
      </c>
      <c r="E936" s="67">
        <f t="shared" ca="1" si="61"/>
        <v>0.04</v>
      </c>
      <c r="F936" s="21"/>
    </row>
    <row r="937" spans="1:6" x14ac:dyDescent="0.3">
      <c r="A937" s="34">
        <v>933</v>
      </c>
      <c r="B937" s="103">
        <f t="shared" ca="1" si="62"/>
        <v>60304</v>
      </c>
      <c r="C937" s="67">
        <f t="shared" ca="1" si="59"/>
        <v>0</v>
      </c>
      <c r="D937" s="103">
        <f t="shared" ca="1" si="60"/>
        <v>5474897</v>
      </c>
      <c r="E937" s="67">
        <f t="shared" ca="1" si="61"/>
        <v>-0.03</v>
      </c>
      <c r="F937" s="21"/>
    </row>
    <row r="938" spans="1:6" x14ac:dyDescent="0.3">
      <c r="A938" s="34">
        <v>934</v>
      </c>
      <c r="B938" s="103">
        <f t="shared" ca="1" si="62"/>
        <v>60362</v>
      </c>
      <c r="C938" s="67">
        <f t="shared" ca="1" si="59"/>
        <v>0</v>
      </c>
      <c r="D938" s="103">
        <f t="shared" ca="1" si="60"/>
        <v>5814721</v>
      </c>
      <c r="E938" s="67">
        <f t="shared" ca="1" si="61"/>
        <v>0.03</v>
      </c>
      <c r="F938" s="21"/>
    </row>
    <row r="939" spans="1:6" x14ac:dyDescent="0.3">
      <c r="A939" s="34">
        <v>935</v>
      </c>
      <c r="B939" s="103">
        <f t="shared" ca="1" si="62"/>
        <v>60360</v>
      </c>
      <c r="C939" s="67">
        <f t="shared" ca="1" si="59"/>
        <v>0</v>
      </c>
      <c r="D939" s="103">
        <f t="shared" ca="1" si="60"/>
        <v>5389754</v>
      </c>
      <c r="E939" s="67">
        <f t="shared" ca="1" si="61"/>
        <v>-0.04</v>
      </c>
      <c r="F939" s="21"/>
    </row>
    <row r="940" spans="1:6" x14ac:dyDescent="0.3">
      <c r="A940" s="34">
        <v>936</v>
      </c>
      <c r="B940" s="103">
        <f t="shared" ca="1" si="62"/>
        <v>62384</v>
      </c>
      <c r="C940" s="67">
        <f t="shared" ca="1" si="59"/>
        <v>0.03</v>
      </c>
      <c r="D940" s="103">
        <f t="shared" ca="1" si="60"/>
        <v>5588837</v>
      </c>
      <c r="E940" s="67">
        <f t="shared" ca="1" si="61"/>
        <v>-0.01</v>
      </c>
      <c r="F940" s="21"/>
    </row>
    <row r="941" spans="1:6" x14ac:dyDescent="0.3">
      <c r="A941" s="34">
        <v>937</v>
      </c>
      <c r="B941" s="103">
        <f t="shared" ca="1" si="62"/>
        <v>59975</v>
      </c>
      <c r="C941" s="67">
        <f t="shared" ca="1" si="59"/>
        <v>-0.01</v>
      </c>
      <c r="D941" s="103">
        <f t="shared" ca="1" si="60"/>
        <v>5642971</v>
      </c>
      <c r="E941" s="67">
        <f t="shared" ca="1" si="61"/>
        <v>0</v>
      </c>
      <c r="F941" s="21"/>
    </row>
    <row r="942" spans="1:6" x14ac:dyDescent="0.3">
      <c r="A942" s="34">
        <v>938</v>
      </c>
      <c r="B942" s="103">
        <f t="shared" ca="1" si="62"/>
        <v>60797</v>
      </c>
      <c r="C942" s="67">
        <f t="shared" ca="1" si="59"/>
        <v>0.01</v>
      </c>
      <c r="D942" s="103">
        <f t="shared" ca="1" si="60"/>
        <v>5881522</v>
      </c>
      <c r="E942" s="67">
        <f t="shared" ca="1" si="61"/>
        <v>0.04</v>
      </c>
      <c r="F942" s="21"/>
    </row>
    <row r="943" spans="1:6" x14ac:dyDescent="0.3">
      <c r="A943" s="34">
        <v>939</v>
      </c>
      <c r="B943" s="103">
        <f t="shared" ca="1" si="62"/>
        <v>57955</v>
      </c>
      <c r="C943" s="67">
        <f t="shared" ca="1" si="59"/>
        <v>-0.04</v>
      </c>
      <c r="D943" s="103">
        <f t="shared" ca="1" si="60"/>
        <v>5410969</v>
      </c>
      <c r="E943" s="67">
        <f t="shared" ca="1" si="61"/>
        <v>-0.04</v>
      </c>
      <c r="F943" s="21"/>
    </row>
    <row r="944" spans="1:6" x14ac:dyDescent="0.3">
      <c r="A944" s="34">
        <v>940</v>
      </c>
      <c r="B944" s="103">
        <f t="shared" ca="1" si="62"/>
        <v>61351</v>
      </c>
      <c r="C944" s="67">
        <f t="shared" ca="1" si="59"/>
        <v>0.02</v>
      </c>
      <c r="D944" s="103">
        <f t="shared" ca="1" si="60"/>
        <v>5820416</v>
      </c>
      <c r="E944" s="67">
        <f t="shared" ca="1" si="61"/>
        <v>0.03</v>
      </c>
      <c r="F944" s="21"/>
    </row>
    <row r="945" spans="1:6" x14ac:dyDescent="0.3">
      <c r="A945" s="34">
        <v>941</v>
      </c>
      <c r="B945" s="103">
        <f t="shared" ca="1" si="62"/>
        <v>59771</v>
      </c>
      <c r="C945" s="67">
        <f t="shared" ca="1" si="59"/>
        <v>-0.01</v>
      </c>
      <c r="D945" s="103">
        <f t="shared" ca="1" si="60"/>
        <v>5654318</v>
      </c>
      <c r="E945" s="67">
        <f t="shared" ca="1" si="61"/>
        <v>0</v>
      </c>
      <c r="F945" s="21"/>
    </row>
    <row r="946" spans="1:6" x14ac:dyDescent="0.3">
      <c r="A946" s="34">
        <v>942</v>
      </c>
      <c r="B946" s="103">
        <f t="shared" ca="1" si="62"/>
        <v>62409</v>
      </c>
      <c r="C946" s="67">
        <f t="shared" ca="1" si="59"/>
        <v>0.04</v>
      </c>
      <c r="D946" s="103">
        <f t="shared" ca="1" si="60"/>
        <v>5686860</v>
      </c>
      <c r="E946" s="67">
        <f t="shared" ca="1" si="61"/>
        <v>0.01</v>
      </c>
      <c r="F946" s="21"/>
    </row>
    <row r="947" spans="1:6" x14ac:dyDescent="0.3">
      <c r="A947" s="34">
        <v>943</v>
      </c>
      <c r="B947" s="103">
        <f t="shared" ca="1" si="62"/>
        <v>58755</v>
      </c>
      <c r="C947" s="67">
        <f t="shared" ca="1" si="59"/>
        <v>-0.03</v>
      </c>
      <c r="D947" s="103">
        <f t="shared" ca="1" si="60"/>
        <v>5492221</v>
      </c>
      <c r="E947" s="67">
        <f t="shared" ca="1" si="61"/>
        <v>-0.03</v>
      </c>
      <c r="F947" s="21"/>
    </row>
    <row r="948" spans="1:6" x14ac:dyDescent="0.3">
      <c r="A948" s="34">
        <v>944</v>
      </c>
      <c r="B948" s="103">
        <f t="shared" ca="1" si="62"/>
        <v>61131</v>
      </c>
      <c r="C948" s="67">
        <f t="shared" ca="1" si="59"/>
        <v>0.01</v>
      </c>
      <c r="D948" s="103">
        <f t="shared" ca="1" si="60"/>
        <v>5738890</v>
      </c>
      <c r="E948" s="67">
        <f t="shared" ca="1" si="61"/>
        <v>0.02</v>
      </c>
      <c r="F948" s="21"/>
    </row>
    <row r="949" spans="1:6" x14ac:dyDescent="0.3">
      <c r="A949" s="34">
        <v>945</v>
      </c>
      <c r="B949" s="103">
        <f t="shared" ca="1" si="62"/>
        <v>60222</v>
      </c>
      <c r="C949" s="67">
        <f t="shared" ca="1" si="59"/>
        <v>0</v>
      </c>
      <c r="D949" s="103">
        <f t="shared" ca="1" si="60"/>
        <v>5780896</v>
      </c>
      <c r="E949" s="67">
        <f t="shared" ca="1" si="61"/>
        <v>0.03</v>
      </c>
      <c r="F949" s="21"/>
    </row>
    <row r="950" spans="1:6" x14ac:dyDescent="0.3">
      <c r="A950" s="34">
        <v>946</v>
      </c>
      <c r="B950" s="103">
        <f t="shared" ca="1" si="62"/>
        <v>62089</v>
      </c>
      <c r="C950" s="67">
        <f t="shared" ca="1" si="59"/>
        <v>0.03</v>
      </c>
      <c r="D950" s="103">
        <f t="shared" ca="1" si="60"/>
        <v>5696709</v>
      </c>
      <c r="E950" s="67">
        <f t="shared" ca="1" si="61"/>
        <v>0.01</v>
      </c>
      <c r="F950" s="21"/>
    </row>
    <row r="951" spans="1:6" x14ac:dyDescent="0.3">
      <c r="A951" s="34">
        <v>947</v>
      </c>
      <c r="B951" s="103">
        <f t="shared" ca="1" si="62"/>
        <v>59706</v>
      </c>
      <c r="C951" s="67">
        <f t="shared" ca="1" si="59"/>
        <v>-0.01</v>
      </c>
      <c r="D951" s="103">
        <f t="shared" ca="1" si="60"/>
        <v>5741035</v>
      </c>
      <c r="E951" s="67">
        <f t="shared" ca="1" si="61"/>
        <v>0.02</v>
      </c>
      <c r="F951" s="21"/>
    </row>
    <row r="952" spans="1:6" x14ac:dyDescent="0.3">
      <c r="A952" s="34">
        <v>948</v>
      </c>
      <c r="B952" s="103">
        <f t="shared" ca="1" si="62"/>
        <v>60845</v>
      </c>
      <c r="C952" s="67">
        <f t="shared" ca="1" si="59"/>
        <v>0.01</v>
      </c>
      <c r="D952" s="103">
        <f t="shared" ca="1" si="60"/>
        <v>5840540</v>
      </c>
      <c r="E952" s="67">
        <f t="shared" ca="1" si="61"/>
        <v>0.04</v>
      </c>
      <c r="F952" s="21"/>
    </row>
    <row r="953" spans="1:6" x14ac:dyDescent="0.3">
      <c r="A953" s="34">
        <v>949</v>
      </c>
      <c r="B953" s="103">
        <f t="shared" ca="1" si="62"/>
        <v>57080</v>
      </c>
      <c r="C953" s="67">
        <f t="shared" ca="1" si="59"/>
        <v>-0.05</v>
      </c>
      <c r="D953" s="103">
        <f t="shared" ca="1" si="60"/>
        <v>5735332</v>
      </c>
      <c r="E953" s="67">
        <f t="shared" ca="1" si="61"/>
        <v>0.02</v>
      </c>
      <c r="F953" s="21"/>
    </row>
    <row r="954" spans="1:6" x14ac:dyDescent="0.3">
      <c r="A954" s="34">
        <v>950</v>
      </c>
      <c r="B954" s="103">
        <f t="shared" ca="1" si="62"/>
        <v>58627</v>
      </c>
      <c r="C954" s="67">
        <f t="shared" ca="1" si="59"/>
        <v>-0.03</v>
      </c>
      <c r="D954" s="103">
        <f t="shared" ca="1" si="60"/>
        <v>5861991</v>
      </c>
      <c r="E954" s="67">
        <f t="shared" ca="1" si="61"/>
        <v>0.04</v>
      </c>
      <c r="F954" s="21"/>
    </row>
    <row r="955" spans="1:6" x14ac:dyDescent="0.3">
      <c r="A955" s="34">
        <v>951</v>
      </c>
      <c r="B955" s="103">
        <f t="shared" ca="1" si="62"/>
        <v>61228</v>
      </c>
      <c r="C955" s="67">
        <f t="shared" ca="1" si="59"/>
        <v>0.02</v>
      </c>
      <c r="D955" s="103">
        <f t="shared" ca="1" si="60"/>
        <v>5410461</v>
      </c>
      <c r="E955" s="67">
        <f t="shared" ca="1" si="61"/>
        <v>-0.04</v>
      </c>
      <c r="F955" s="21"/>
    </row>
    <row r="956" spans="1:6" x14ac:dyDescent="0.3">
      <c r="A956" s="34">
        <v>952</v>
      </c>
      <c r="B956" s="103">
        <f t="shared" ca="1" si="62"/>
        <v>59293</v>
      </c>
      <c r="C956" s="67">
        <f t="shared" ca="1" si="59"/>
        <v>-0.02</v>
      </c>
      <c r="D956" s="103">
        <f t="shared" ca="1" si="60"/>
        <v>5836986</v>
      </c>
      <c r="E956" s="67">
        <f t="shared" ca="1" si="61"/>
        <v>0.04</v>
      </c>
      <c r="F956" s="21"/>
    </row>
    <row r="957" spans="1:6" x14ac:dyDescent="0.3">
      <c r="A957" s="34">
        <v>953</v>
      </c>
      <c r="B957" s="103">
        <f t="shared" ca="1" si="62"/>
        <v>57288</v>
      </c>
      <c r="C957" s="67">
        <f t="shared" ca="1" si="59"/>
        <v>-0.05</v>
      </c>
      <c r="D957" s="103">
        <f t="shared" ca="1" si="60"/>
        <v>5352883</v>
      </c>
      <c r="E957" s="67">
        <f t="shared" ca="1" si="61"/>
        <v>-0.05</v>
      </c>
      <c r="F957" s="21"/>
    </row>
    <row r="958" spans="1:6" x14ac:dyDescent="0.3">
      <c r="A958" s="34">
        <v>954</v>
      </c>
      <c r="B958" s="103">
        <f t="shared" ca="1" si="62"/>
        <v>60284</v>
      </c>
      <c r="C958" s="67">
        <f t="shared" ca="1" si="59"/>
        <v>0</v>
      </c>
      <c r="D958" s="103">
        <f t="shared" ca="1" si="60"/>
        <v>5698689</v>
      </c>
      <c r="E958" s="67">
        <f t="shared" ca="1" si="61"/>
        <v>0.01</v>
      </c>
      <c r="F958" s="21"/>
    </row>
    <row r="959" spans="1:6" x14ac:dyDescent="0.3">
      <c r="A959" s="34">
        <v>955</v>
      </c>
      <c r="B959" s="103">
        <f t="shared" ca="1" si="62"/>
        <v>58988</v>
      </c>
      <c r="C959" s="67">
        <f t="shared" ca="1" si="59"/>
        <v>-0.02</v>
      </c>
      <c r="D959" s="103">
        <f t="shared" ca="1" si="60"/>
        <v>5336040</v>
      </c>
      <c r="E959" s="67">
        <f t="shared" ca="1" si="61"/>
        <v>-0.05</v>
      </c>
      <c r="F959" s="21"/>
    </row>
    <row r="960" spans="1:6" x14ac:dyDescent="0.3">
      <c r="A960" s="34">
        <v>956</v>
      </c>
      <c r="B960" s="103">
        <f t="shared" ca="1" si="62"/>
        <v>61796</v>
      </c>
      <c r="C960" s="67">
        <f t="shared" ca="1" si="59"/>
        <v>0.02</v>
      </c>
      <c r="D960" s="103">
        <f t="shared" ca="1" si="60"/>
        <v>5486647</v>
      </c>
      <c r="E960" s="67">
        <f t="shared" ca="1" si="61"/>
        <v>-0.03</v>
      </c>
      <c r="F960" s="21"/>
    </row>
    <row r="961" spans="1:6" x14ac:dyDescent="0.3">
      <c r="A961" s="34">
        <v>957</v>
      </c>
      <c r="B961" s="103">
        <f t="shared" ca="1" si="62"/>
        <v>62049</v>
      </c>
      <c r="C961" s="67">
        <f t="shared" ca="1" si="59"/>
        <v>0.03</v>
      </c>
      <c r="D961" s="103">
        <f t="shared" ca="1" si="60"/>
        <v>5331984</v>
      </c>
      <c r="E961" s="67">
        <f t="shared" ca="1" si="61"/>
        <v>-0.05</v>
      </c>
      <c r="F961" s="21"/>
    </row>
    <row r="962" spans="1:6" x14ac:dyDescent="0.3">
      <c r="A962" s="34">
        <v>958</v>
      </c>
      <c r="B962" s="103">
        <f t="shared" ca="1" si="62"/>
        <v>57083</v>
      </c>
      <c r="C962" s="67">
        <f t="shared" ca="1" si="59"/>
        <v>-0.05</v>
      </c>
      <c r="D962" s="103">
        <f t="shared" ca="1" si="60"/>
        <v>5555220</v>
      </c>
      <c r="E962" s="67">
        <f t="shared" ca="1" si="61"/>
        <v>-0.01</v>
      </c>
      <c r="F962" s="21"/>
    </row>
    <row r="963" spans="1:6" x14ac:dyDescent="0.3">
      <c r="A963" s="34">
        <v>959</v>
      </c>
      <c r="B963" s="103">
        <f t="shared" ca="1" si="62"/>
        <v>60768</v>
      </c>
      <c r="C963" s="67">
        <f t="shared" ca="1" si="59"/>
        <v>0.01</v>
      </c>
      <c r="D963" s="103">
        <f t="shared" ca="1" si="60"/>
        <v>5412518</v>
      </c>
      <c r="E963" s="67">
        <f t="shared" ca="1" si="61"/>
        <v>-0.04</v>
      </c>
      <c r="F963" s="21"/>
    </row>
    <row r="964" spans="1:6" x14ac:dyDescent="0.3">
      <c r="A964" s="34">
        <v>960</v>
      </c>
      <c r="B964" s="103">
        <f t="shared" ca="1" si="62"/>
        <v>61803</v>
      </c>
      <c r="C964" s="67">
        <f t="shared" ca="1" si="59"/>
        <v>0.03</v>
      </c>
      <c r="D964" s="103">
        <f t="shared" ca="1" si="60"/>
        <v>5346200</v>
      </c>
      <c r="E964" s="67">
        <f t="shared" ca="1" si="61"/>
        <v>-0.05</v>
      </c>
      <c r="F964" s="21"/>
    </row>
    <row r="965" spans="1:6" x14ac:dyDescent="0.3">
      <c r="A965" s="34">
        <v>961</v>
      </c>
      <c r="B965" s="103">
        <f t="shared" ca="1" si="62"/>
        <v>59627</v>
      </c>
      <c r="C965" s="67">
        <f t="shared" ref="C965:C1004" ca="1" si="63">_xlfn.XLOOKUP(B965,selling_price_range,Range,"",-1)</f>
        <v>-0.01</v>
      </c>
      <c r="D965" s="103">
        <f t="shared" ref="D965:D1004" ca="1" si="64">RANDBETWEEN($P$5*(1+$G$5),$P$5*(1+$G$15))</f>
        <v>5765437</v>
      </c>
      <c r="E965" s="67">
        <f t="shared" ref="E965:E1004" ca="1" si="65">_xlfn.XLOOKUP(D965,expenses_range,Range,"",-1)</f>
        <v>0.02</v>
      </c>
      <c r="F965" s="21"/>
    </row>
    <row r="966" spans="1:6" x14ac:dyDescent="0.3">
      <c r="A966" s="34">
        <v>962</v>
      </c>
      <c r="B966" s="103">
        <f t="shared" ref="B966:B1004" ca="1" si="66">RANDBETWEEN($P$4*(1+$G$5),$P$4*(1+$G$15))</f>
        <v>57052</v>
      </c>
      <c r="C966" s="67">
        <f t="shared" ca="1" si="63"/>
        <v>-0.05</v>
      </c>
      <c r="D966" s="103">
        <f t="shared" ca="1" si="64"/>
        <v>5660416</v>
      </c>
      <c r="E966" s="67">
        <f t="shared" ca="1" si="65"/>
        <v>0</v>
      </c>
      <c r="F966" s="21"/>
    </row>
    <row r="967" spans="1:6" x14ac:dyDescent="0.3">
      <c r="A967" s="34">
        <v>963</v>
      </c>
      <c r="B967" s="103">
        <f t="shared" ca="1" si="66"/>
        <v>62126</v>
      </c>
      <c r="C967" s="67">
        <f t="shared" ca="1" si="63"/>
        <v>0.03</v>
      </c>
      <c r="D967" s="103">
        <f t="shared" ca="1" si="64"/>
        <v>5415404</v>
      </c>
      <c r="E967" s="67">
        <f t="shared" ca="1" si="65"/>
        <v>-0.04</v>
      </c>
      <c r="F967" s="21"/>
    </row>
    <row r="968" spans="1:6" x14ac:dyDescent="0.3">
      <c r="A968" s="34">
        <v>964</v>
      </c>
      <c r="B968" s="103">
        <f t="shared" ca="1" si="66"/>
        <v>62422</v>
      </c>
      <c r="C968" s="67">
        <f t="shared" ca="1" si="63"/>
        <v>0.04</v>
      </c>
      <c r="D968" s="103">
        <f t="shared" ca="1" si="64"/>
        <v>5790960</v>
      </c>
      <c r="E968" s="67">
        <f t="shared" ca="1" si="65"/>
        <v>0.03</v>
      </c>
      <c r="F968" s="21"/>
    </row>
    <row r="969" spans="1:6" x14ac:dyDescent="0.3">
      <c r="A969" s="34">
        <v>965</v>
      </c>
      <c r="B969" s="103">
        <f t="shared" ca="1" si="66"/>
        <v>57938</v>
      </c>
      <c r="C969" s="67">
        <f t="shared" ca="1" si="63"/>
        <v>-0.04</v>
      </c>
      <c r="D969" s="103">
        <f t="shared" ca="1" si="64"/>
        <v>5749371</v>
      </c>
      <c r="E969" s="67">
        <f t="shared" ca="1" si="65"/>
        <v>0.02</v>
      </c>
      <c r="F969" s="21"/>
    </row>
    <row r="970" spans="1:6" x14ac:dyDescent="0.3">
      <c r="A970" s="34">
        <v>966</v>
      </c>
      <c r="B970" s="103">
        <f t="shared" ca="1" si="66"/>
        <v>58083</v>
      </c>
      <c r="C970" s="67">
        <f t="shared" ca="1" si="63"/>
        <v>-0.04</v>
      </c>
      <c r="D970" s="103">
        <f t="shared" ca="1" si="64"/>
        <v>5359272</v>
      </c>
      <c r="E970" s="67">
        <f t="shared" ca="1" si="65"/>
        <v>-0.05</v>
      </c>
      <c r="F970" s="21"/>
    </row>
    <row r="971" spans="1:6" x14ac:dyDescent="0.3">
      <c r="A971" s="34">
        <v>967</v>
      </c>
      <c r="B971" s="103">
        <f t="shared" ca="1" si="66"/>
        <v>60328</v>
      </c>
      <c r="C971" s="67">
        <f t="shared" ca="1" si="63"/>
        <v>0</v>
      </c>
      <c r="D971" s="103">
        <f t="shared" ca="1" si="64"/>
        <v>5451339</v>
      </c>
      <c r="E971" s="67">
        <f t="shared" ca="1" si="65"/>
        <v>-0.03</v>
      </c>
      <c r="F971" s="21"/>
    </row>
    <row r="972" spans="1:6" x14ac:dyDescent="0.3">
      <c r="A972" s="34">
        <v>968</v>
      </c>
      <c r="B972" s="103">
        <f t="shared" ca="1" si="66"/>
        <v>59094</v>
      </c>
      <c r="C972" s="67">
        <f t="shared" ca="1" si="63"/>
        <v>-0.02</v>
      </c>
      <c r="D972" s="103">
        <f t="shared" ca="1" si="64"/>
        <v>5417827</v>
      </c>
      <c r="E972" s="67">
        <f t="shared" ca="1" si="65"/>
        <v>-0.04</v>
      </c>
      <c r="F972" s="21"/>
    </row>
    <row r="973" spans="1:6" x14ac:dyDescent="0.3">
      <c r="A973" s="34">
        <v>969</v>
      </c>
      <c r="B973" s="103">
        <f t="shared" ca="1" si="66"/>
        <v>59565</v>
      </c>
      <c r="C973" s="67">
        <f t="shared" ca="1" si="63"/>
        <v>-0.01</v>
      </c>
      <c r="D973" s="103">
        <f t="shared" ca="1" si="64"/>
        <v>5833273</v>
      </c>
      <c r="E973" s="67">
        <f t="shared" ca="1" si="65"/>
        <v>0.04</v>
      </c>
      <c r="F973" s="21"/>
    </row>
    <row r="974" spans="1:6" x14ac:dyDescent="0.3">
      <c r="A974" s="34">
        <v>970</v>
      </c>
      <c r="B974" s="103">
        <f t="shared" ca="1" si="66"/>
        <v>59835</v>
      </c>
      <c r="C974" s="67">
        <f t="shared" ca="1" si="63"/>
        <v>-0.01</v>
      </c>
      <c r="D974" s="103">
        <f t="shared" ca="1" si="64"/>
        <v>5388980</v>
      </c>
      <c r="E974" s="67">
        <f t="shared" ca="1" si="65"/>
        <v>-0.04</v>
      </c>
      <c r="F974" s="21"/>
    </row>
    <row r="975" spans="1:6" x14ac:dyDescent="0.3">
      <c r="A975" s="34">
        <v>971</v>
      </c>
      <c r="B975" s="103">
        <f t="shared" ca="1" si="66"/>
        <v>59210</v>
      </c>
      <c r="C975" s="67">
        <f t="shared" ca="1" si="63"/>
        <v>-0.02</v>
      </c>
      <c r="D975" s="103">
        <f t="shared" ca="1" si="64"/>
        <v>5590743</v>
      </c>
      <c r="E975" s="67">
        <f t="shared" ca="1" si="65"/>
        <v>-0.01</v>
      </c>
      <c r="F975" s="21"/>
    </row>
    <row r="976" spans="1:6" x14ac:dyDescent="0.3">
      <c r="A976" s="34">
        <v>972</v>
      </c>
      <c r="B976" s="103">
        <f t="shared" ca="1" si="66"/>
        <v>59235</v>
      </c>
      <c r="C976" s="67">
        <f t="shared" ca="1" si="63"/>
        <v>-0.02</v>
      </c>
      <c r="D976" s="103">
        <f t="shared" ca="1" si="64"/>
        <v>5691253</v>
      </c>
      <c r="E976" s="67">
        <f t="shared" ca="1" si="65"/>
        <v>0.01</v>
      </c>
      <c r="F976" s="21"/>
    </row>
    <row r="977" spans="1:6" x14ac:dyDescent="0.3">
      <c r="A977" s="34">
        <v>973</v>
      </c>
      <c r="B977" s="103">
        <f t="shared" ca="1" si="66"/>
        <v>60182</v>
      </c>
      <c r="C977" s="67">
        <f t="shared" ca="1" si="63"/>
        <v>0</v>
      </c>
      <c r="D977" s="103">
        <f t="shared" ca="1" si="64"/>
        <v>5810019</v>
      </c>
      <c r="E977" s="67">
        <f t="shared" ca="1" si="65"/>
        <v>0.03</v>
      </c>
      <c r="F977" s="21"/>
    </row>
    <row r="978" spans="1:6" x14ac:dyDescent="0.3">
      <c r="A978" s="34">
        <v>974</v>
      </c>
      <c r="B978" s="103">
        <f t="shared" ca="1" si="66"/>
        <v>58495</v>
      </c>
      <c r="C978" s="67">
        <f t="shared" ca="1" si="63"/>
        <v>-0.03</v>
      </c>
      <c r="D978" s="103">
        <f t="shared" ca="1" si="64"/>
        <v>5601193</v>
      </c>
      <c r="E978" s="67">
        <f t="shared" ca="1" si="65"/>
        <v>-0.01</v>
      </c>
      <c r="F978" s="21"/>
    </row>
    <row r="979" spans="1:6" x14ac:dyDescent="0.3">
      <c r="A979" s="34">
        <v>975</v>
      </c>
      <c r="B979" s="103">
        <f t="shared" ca="1" si="66"/>
        <v>60909</v>
      </c>
      <c r="C979" s="67">
        <f t="shared" ca="1" si="63"/>
        <v>0.01</v>
      </c>
      <c r="D979" s="103">
        <f t="shared" ca="1" si="64"/>
        <v>5706749</v>
      </c>
      <c r="E979" s="67">
        <f t="shared" ca="1" si="65"/>
        <v>0.01</v>
      </c>
      <c r="F979" s="21"/>
    </row>
    <row r="980" spans="1:6" x14ac:dyDescent="0.3">
      <c r="A980" s="34">
        <v>976</v>
      </c>
      <c r="B980" s="103">
        <f t="shared" ca="1" si="66"/>
        <v>61007</v>
      </c>
      <c r="C980" s="67">
        <f t="shared" ca="1" si="63"/>
        <v>0.01</v>
      </c>
      <c r="D980" s="103">
        <f t="shared" ca="1" si="64"/>
        <v>5866235</v>
      </c>
      <c r="E980" s="67">
        <f t="shared" ca="1" si="65"/>
        <v>0.04</v>
      </c>
      <c r="F980" s="21"/>
    </row>
    <row r="981" spans="1:6" x14ac:dyDescent="0.3">
      <c r="A981" s="34">
        <v>977</v>
      </c>
      <c r="B981" s="103">
        <f t="shared" ca="1" si="66"/>
        <v>62437</v>
      </c>
      <c r="C981" s="67">
        <f t="shared" ca="1" si="63"/>
        <v>0.04</v>
      </c>
      <c r="D981" s="103">
        <f t="shared" ca="1" si="64"/>
        <v>5464626</v>
      </c>
      <c r="E981" s="67">
        <f t="shared" ca="1" si="65"/>
        <v>-0.03</v>
      </c>
      <c r="F981" s="21"/>
    </row>
    <row r="982" spans="1:6" x14ac:dyDescent="0.3">
      <c r="A982" s="34">
        <v>978</v>
      </c>
      <c r="B982" s="103">
        <f t="shared" ca="1" si="66"/>
        <v>59848</v>
      </c>
      <c r="C982" s="67">
        <f t="shared" ca="1" si="63"/>
        <v>-0.01</v>
      </c>
      <c r="D982" s="103">
        <f t="shared" ca="1" si="64"/>
        <v>5438570</v>
      </c>
      <c r="E982" s="67">
        <f t="shared" ca="1" si="65"/>
        <v>-0.03</v>
      </c>
      <c r="F982" s="21"/>
    </row>
    <row r="983" spans="1:6" x14ac:dyDescent="0.3">
      <c r="A983" s="34">
        <v>979</v>
      </c>
      <c r="B983" s="103">
        <f t="shared" ca="1" si="66"/>
        <v>61783</v>
      </c>
      <c r="C983" s="67">
        <f t="shared" ca="1" si="63"/>
        <v>0.02</v>
      </c>
      <c r="D983" s="103">
        <f t="shared" ca="1" si="64"/>
        <v>5822569</v>
      </c>
      <c r="E983" s="67">
        <f t="shared" ca="1" si="65"/>
        <v>0.03</v>
      </c>
      <c r="F983" s="21"/>
    </row>
    <row r="984" spans="1:6" x14ac:dyDescent="0.3">
      <c r="A984" s="34">
        <v>980</v>
      </c>
      <c r="B984" s="103">
        <f t="shared" ca="1" si="66"/>
        <v>58412</v>
      </c>
      <c r="C984" s="67">
        <f t="shared" ca="1" si="63"/>
        <v>-0.03</v>
      </c>
      <c r="D984" s="103">
        <f t="shared" ca="1" si="64"/>
        <v>5570279</v>
      </c>
      <c r="E984" s="67">
        <f t="shared" ca="1" si="65"/>
        <v>-0.01</v>
      </c>
      <c r="F984" s="21"/>
    </row>
    <row r="985" spans="1:6" x14ac:dyDescent="0.3">
      <c r="A985" s="34">
        <v>981</v>
      </c>
      <c r="B985" s="103">
        <f t="shared" ca="1" si="66"/>
        <v>57808</v>
      </c>
      <c r="C985" s="67">
        <f t="shared" ca="1" si="63"/>
        <v>-0.04</v>
      </c>
      <c r="D985" s="103">
        <f t="shared" ca="1" si="64"/>
        <v>5430291</v>
      </c>
      <c r="E985" s="67">
        <f t="shared" ca="1" si="65"/>
        <v>-0.04</v>
      </c>
      <c r="F985" s="21"/>
    </row>
    <row r="986" spans="1:6" x14ac:dyDescent="0.3">
      <c r="A986" s="34">
        <v>982</v>
      </c>
      <c r="B986" s="103">
        <f t="shared" ca="1" si="66"/>
        <v>58325</v>
      </c>
      <c r="C986" s="67">
        <f t="shared" ca="1" si="63"/>
        <v>-0.03</v>
      </c>
      <c r="D986" s="103">
        <f t="shared" ca="1" si="64"/>
        <v>5352193</v>
      </c>
      <c r="E986" s="67">
        <f t="shared" ca="1" si="65"/>
        <v>-0.05</v>
      </c>
      <c r="F986" s="21"/>
    </row>
    <row r="987" spans="1:6" x14ac:dyDescent="0.3">
      <c r="A987" s="34">
        <v>983</v>
      </c>
      <c r="B987" s="103">
        <f t="shared" ca="1" si="66"/>
        <v>59563</v>
      </c>
      <c r="C987" s="67">
        <f t="shared" ca="1" si="63"/>
        <v>-0.01</v>
      </c>
      <c r="D987" s="103">
        <f t="shared" ca="1" si="64"/>
        <v>5632273</v>
      </c>
      <c r="E987" s="67">
        <f t="shared" ca="1" si="65"/>
        <v>0</v>
      </c>
      <c r="F987" s="21"/>
    </row>
    <row r="988" spans="1:6" x14ac:dyDescent="0.3">
      <c r="A988" s="34">
        <v>984</v>
      </c>
      <c r="B988" s="103">
        <f t="shared" ca="1" si="66"/>
        <v>57006</v>
      </c>
      <c r="C988" s="67">
        <f t="shared" ca="1" si="63"/>
        <v>-0.05</v>
      </c>
      <c r="D988" s="103">
        <f t="shared" ca="1" si="64"/>
        <v>5354339</v>
      </c>
      <c r="E988" s="67">
        <f t="shared" ca="1" si="65"/>
        <v>-0.05</v>
      </c>
      <c r="F988" s="21"/>
    </row>
    <row r="989" spans="1:6" x14ac:dyDescent="0.3">
      <c r="A989" s="34">
        <v>985</v>
      </c>
      <c r="B989" s="103">
        <f t="shared" ca="1" si="66"/>
        <v>59685</v>
      </c>
      <c r="C989" s="67">
        <f t="shared" ca="1" si="63"/>
        <v>-0.01</v>
      </c>
      <c r="D989" s="103">
        <f t="shared" ca="1" si="64"/>
        <v>5661170</v>
      </c>
      <c r="E989" s="67">
        <f t="shared" ca="1" si="65"/>
        <v>0.01</v>
      </c>
      <c r="F989" s="21"/>
    </row>
    <row r="990" spans="1:6" x14ac:dyDescent="0.3">
      <c r="A990" s="34">
        <v>986</v>
      </c>
      <c r="B990" s="103">
        <f t="shared" ca="1" si="66"/>
        <v>57704</v>
      </c>
      <c r="C990" s="67">
        <f t="shared" ca="1" si="63"/>
        <v>-0.04</v>
      </c>
      <c r="D990" s="103">
        <f t="shared" ca="1" si="64"/>
        <v>5498395</v>
      </c>
      <c r="E990" s="67">
        <f t="shared" ca="1" si="65"/>
        <v>-0.02</v>
      </c>
      <c r="F990" s="21"/>
    </row>
    <row r="991" spans="1:6" x14ac:dyDescent="0.3">
      <c r="A991" s="34">
        <v>987</v>
      </c>
      <c r="B991" s="103">
        <f t="shared" ca="1" si="66"/>
        <v>60224</v>
      </c>
      <c r="C991" s="67">
        <f t="shared" ca="1" si="63"/>
        <v>0</v>
      </c>
      <c r="D991" s="103">
        <f t="shared" ca="1" si="64"/>
        <v>5870317</v>
      </c>
      <c r="E991" s="67">
        <f t="shared" ca="1" si="65"/>
        <v>0.04</v>
      </c>
      <c r="F991" s="21"/>
    </row>
    <row r="992" spans="1:6" x14ac:dyDescent="0.3">
      <c r="A992" s="34">
        <v>988</v>
      </c>
      <c r="B992" s="103">
        <f t="shared" ca="1" si="66"/>
        <v>57657</v>
      </c>
      <c r="C992" s="67">
        <f t="shared" ca="1" si="63"/>
        <v>-0.04</v>
      </c>
      <c r="D992" s="103">
        <f t="shared" ca="1" si="64"/>
        <v>5644217</v>
      </c>
      <c r="E992" s="67">
        <f t="shared" ca="1" si="65"/>
        <v>0</v>
      </c>
      <c r="F992" s="21"/>
    </row>
    <row r="993" spans="1:6" x14ac:dyDescent="0.3">
      <c r="A993" s="34">
        <v>989</v>
      </c>
      <c r="B993" s="103">
        <f t="shared" ca="1" si="66"/>
        <v>62104</v>
      </c>
      <c r="C993" s="67">
        <f t="shared" ca="1" si="63"/>
        <v>0.03</v>
      </c>
      <c r="D993" s="103">
        <f t="shared" ca="1" si="64"/>
        <v>5512968</v>
      </c>
      <c r="E993" s="67">
        <f t="shared" ca="1" si="65"/>
        <v>-0.02</v>
      </c>
      <c r="F993" s="21"/>
    </row>
    <row r="994" spans="1:6" x14ac:dyDescent="0.3">
      <c r="A994" s="34">
        <v>990</v>
      </c>
      <c r="B994" s="103">
        <f t="shared" ca="1" si="66"/>
        <v>61931</v>
      </c>
      <c r="C994" s="67">
        <f t="shared" ca="1" si="63"/>
        <v>0.03</v>
      </c>
      <c r="D994" s="103">
        <f t="shared" ca="1" si="64"/>
        <v>5812859</v>
      </c>
      <c r="E994" s="67">
        <f t="shared" ca="1" si="65"/>
        <v>0.03</v>
      </c>
      <c r="F994" s="21"/>
    </row>
    <row r="995" spans="1:6" x14ac:dyDescent="0.3">
      <c r="A995" s="34">
        <v>991</v>
      </c>
      <c r="B995" s="103">
        <f t="shared" ca="1" si="66"/>
        <v>57339</v>
      </c>
      <c r="C995" s="67">
        <f t="shared" ca="1" si="63"/>
        <v>-0.05</v>
      </c>
      <c r="D995" s="103">
        <f t="shared" ca="1" si="64"/>
        <v>5641719</v>
      </c>
      <c r="E995" s="67">
        <f t="shared" ca="1" si="65"/>
        <v>0</v>
      </c>
      <c r="F995" s="21"/>
    </row>
    <row r="996" spans="1:6" x14ac:dyDescent="0.3">
      <c r="A996" s="34">
        <v>992</v>
      </c>
      <c r="B996" s="103">
        <f t="shared" ca="1" si="66"/>
        <v>58855</v>
      </c>
      <c r="C996" s="67">
        <f t="shared" ca="1" si="63"/>
        <v>-0.02</v>
      </c>
      <c r="D996" s="103">
        <f t="shared" ca="1" si="64"/>
        <v>5583246</v>
      </c>
      <c r="E996" s="67">
        <f t="shared" ca="1" si="65"/>
        <v>-0.01</v>
      </c>
      <c r="F996" s="21"/>
    </row>
    <row r="997" spans="1:6" x14ac:dyDescent="0.3">
      <c r="A997" s="34">
        <v>993</v>
      </c>
      <c r="B997" s="103">
        <f t="shared" ca="1" si="66"/>
        <v>61820</v>
      </c>
      <c r="C997" s="67">
        <f t="shared" ca="1" si="63"/>
        <v>0.03</v>
      </c>
      <c r="D997" s="103">
        <f t="shared" ca="1" si="64"/>
        <v>5489625</v>
      </c>
      <c r="E997" s="67">
        <f t="shared" ca="1" si="65"/>
        <v>-0.03</v>
      </c>
      <c r="F997" s="21"/>
    </row>
    <row r="998" spans="1:6" x14ac:dyDescent="0.3">
      <c r="A998" s="34">
        <v>994</v>
      </c>
      <c r="B998" s="103">
        <f t="shared" ca="1" si="66"/>
        <v>57465</v>
      </c>
      <c r="C998" s="67">
        <f t="shared" ca="1" si="63"/>
        <v>-0.05</v>
      </c>
      <c r="D998" s="103">
        <f t="shared" ca="1" si="64"/>
        <v>5522367</v>
      </c>
      <c r="E998" s="67">
        <f t="shared" ca="1" si="65"/>
        <v>-0.02</v>
      </c>
      <c r="F998" s="21"/>
    </row>
    <row r="999" spans="1:6" x14ac:dyDescent="0.3">
      <c r="A999" s="34">
        <v>995</v>
      </c>
      <c r="B999" s="103">
        <f t="shared" ca="1" si="66"/>
        <v>59101</v>
      </c>
      <c r="C999" s="67">
        <f t="shared" ca="1" si="63"/>
        <v>-0.02</v>
      </c>
      <c r="D999" s="103">
        <f t="shared" ca="1" si="64"/>
        <v>5331132</v>
      </c>
      <c r="E999" s="67">
        <f t="shared" ca="1" si="65"/>
        <v>-0.05</v>
      </c>
      <c r="F999" s="21"/>
    </row>
    <row r="1000" spans="1:6" x14ac:dyDescent="0.3">
      <c r="A1000" s="34">
        <v>996</v>
      </c>
      <c r="B1000" s="103">
        <f t="shared" ca="1" si="66"/>
        <v>60524</v>
      </c>
      <c r="C1000" s="67">
        <f t="shared" ca="1" si="63"/>
        <v>0</v>
      </c>
      <c r="D1000" s="103">
        <f t="shared" ca="1" si="64"/>
        <v>5855428</v>
      </c>
      <c r="E1000" s="67">
        <f t="shared" ca="1" si="65"/>
        <v>0.04</v>
      </c>
      <c r="F1000" s="21"/>
    </row>
    <row r="1001" spans="1:6" x14ac:dyDescent="0.3">
      <c r="A1001" s="34">
        <v>997</v>
      </c>
      <c r="B1001" s="103">
        <f t="shared" ca="1" si="66"/>
        <v>58586</v>
      </c>
      <c r="C1001" s="67">
        <f t="shared" ca="1" si="63"/>
        <v>-0.03</v>
      </c>
      <c r="D1001" s="103">
        <f t="shared" ca="1" si="64"/>
        <v>5759213</v>
      </c>
      <c r="E1001" s="67">
        <f t="shared" ca="1" si="65"/>
        <v>0.02</v>
      </c>
      <c r="F1001" s="21"/>
    </row>
    <row r="1002" spans="1:6" x14ac:dyDescent="0.3">
      <c r="A1002" s="34">
        <v>998</v>
      </c>
      <c r="B1002" s="103">
        <f t="shared" ca="1" si="66"/>
        <v>60757</v>
      </c>
      <c r="C1002" s="67">
        <f t="shared" ca="1" si="63"/>
        <v>0.01</v>
      </c>
      <c r="D1002" s="103">
        <f t="shared" ca="1" si="64"/>
        <v>5573383</v>
      </c>
      <c r="E1002" s="67">
        <f t="shared" ca="1" si="65"/>
        <v>-0.01</v>
      </c>
      <c r="F1002" s="21"/>
    </row>
    <row r="1003" spans="1:6" x14ac:dyDescent="0.3">
      <c r="A1003" s="34">
        <v>999</v>
      </c>
      <c r="B1003" s="103">
        <f t="shared" ca="1" si="66"/>
        <v>60069</v>
      </c>
      <c r="C1003" s="67">
        <f t="shared" ca="1" si="63"/>
        <v>0</v>
      </c>
      <c r="D1003" s="103">
        <f t="shared" ca="1" si="64"/>
        <v>5622418</v>
      </c>
      <c r="E1003" s="67">
        <f t="shared" ca="1" si="65"/>
        <v>0</v>
      </c>
      <c r="F1003" s="21"/>
    </row>
    <row r="1004" spans="1:6" x14ac:dyDescent="0.3">
      <c r="A1004" s="34">
        <v>1000</v>
      </c>
      <c r="B1004" s="103">
        <f t="shared" ca="1" si="66"/>
        <v>57632</v>
      </c>
      <c r="C1004" s="67">
        <f t="shared" ca="1" si="63"/>
        <v>-0.04</v>
      </c>
      <c r="D1004" s="103">
        <f t="shared" ca="1" si="64"/>
        <v>5391815</v>
      </c>
      <c r="E1004" s="67">
        <f t="shared" ca="1" si="65"/>
        <v>-0.04</v>
      </c>
      <c r="F1004" s="21"/>
    </row>
    <row r="1028" spans="18:19" ht="15" thickBot="1" x14ac:dyDescent="0.35">
      <c r="R1028" s="100"/>
      <c r="S1028" s="100"/>
    </row>
  </sheetData>
  <sheetProtection algorithmName="SHA-512" hashValue="5/3V6uckmPRDxIedYH01JQCWhVULvfJomnbCGBaVXGs+EWX1jwO5elaUZSwn43QgC/eYoPyOzzlBpdY7bDWAaQ==" saltValue="My0yZVP/3mePnMDwcnihWw==" spinCount="100000" sheet="1" objects="1" scenarios="1"/>
  <sortState xmlns:xlrd2="http://schemas.microsoft.com/office/spreadsheetml/2017/richdata2" ref="R5:R15">
    <sortCondition ref="R5"/>
  </sortState>
  <pageMargins left="0.7" right="0.7" top="0.75" bottom="0.75" header="0.3" footer="0.3"/>
  <pageSetup orientation="portrait" r:id="rId1"/>
  <ignoredErrors>
    <ignoredError sqref="L10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DD477-40DC-4120-A5D8-5D71CD54CEC7}">
  <dimension ref="A1:N26"/>
  <sheetViews>
    <sheetView showGridLines="0" zoomScale="70" zoomScaleNormal="70" workbookViewId="0">
      <selection activeCell="D14" sqref="D14"/>
    </sheetView>
  </sheetViews>
  <sheetFormatPr defaultColWidth="8.77734375" defaultRowHeight="14.4" x14ac:dyDescent="0.3"/>
  <cols>
    <col min="1" max="1" width="14.6640625" bestFit="1" customWidth="1"/>
    <col min="2" max="2" width="15.77734375" bestFit="1" customWidth="1"/>
    <col min="3" max="3" width="14.109375" bestFit="1" customWidth="1"/>
    <col min="4" max="14" width="16" bestFit="1" customWidth="1"/>
  </cols>
  <sheetData>
    <row r="1" spans="1:14" ht="17.399999999999999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">
      <c r="A2" s="5" t="s">
        <v>167</v>
      </c>
      <c r="B2" s="3"/>
      <c r="C2" s="17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3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3">
      <c r="A4" s="15" t="s">
        <v>153</v>
      </c>
      <c r="B4" s="37">
        <f>cost_per_kwh*1000000</f>
        <v>60000</v>
      </c>
    </row>
    <row r="5" spans="1:14" x14ac:dyDescent="0.3">
      <c r="A5" s="15" t="s">
        <v>161</v>
      </c>
      <c r="B5" s="26">
        <v>20</v>
      </c>
    </row>
    <row r="6" spans="1:14" x14ac:dyDescent="0.3">
      <c r="A6" s="15" t="s">
        <v>162</v>
      </c>
      <c r="B6" s="118">
        <v>5</v>
      </c>
    </row>
    <row r="7" spans="1:14" x14ac:dyDescent="0.3">
      <c r="A7" s="10" t="s">
        <v>32</v>
      </c>
      <c r="B7" s="37">
        <f>PRODUCT(B4:B6)</f>
        <v>6000000</v>
      </c>
    </row>
    <row r="8" spans="1:14" x14ac:dyDescent="0.3">
      <c r="A8" s="10" t="s">
        <v>152</v>
      </c>
      <c r="B8" s="119">
        <f ca="1">expenses_example</f>
        <v>5604581.6031999998</v>
      </c>
    </row>
    <row r="9" spans="1:14" x14ac:dyDescent="0.3">
      <c r="A9" s="10" t="s">
        <v>163</v>
      </c>
      <c r="B9" s="37">
        <f ca="1">B7-B8</f>
        <v>395418.39680000022</v>
      </c>
    </row>
    <row r="10" spans="1:14" x14ac:dyDescent="0.3">
      <c r="A10" s="14" t="s">
        <v>42</v>
      </c>
      <c r="B10" s="60">
        <f ca="1">B9*income_tax</f>
        <v>79083.679360000053</v>
      </c>
    </row>
    <row r="11" spans="1:14" ht="15" thickBot="1" x14ac:dyDescent="0.35">
      <c r="A11" s="10" t="s">
        <v>4</v>
      </c>
      <c r="B11" s="120">
        <f ca="1">B9-B10</f>
        <v>316334.71744000015</v>
      </c>
    </row>
    <row r="12" spans="1:14" ht="15" thickTop="1" x14ac:dyDescent="0.3">
      <c r="B12" s="21"/>
      <c r="D12" s="154" t="s">
        <v>152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6"/>
    </row>
    <row r="13" spans="1:14" x14ac:dyDescent="0.3">
      <c r="C13" s="21"/>
      <c r="D13" s="129" cm="1">
        <f t="array" ref="D13:N13">TRANSPOSE(Range)</f>
        <v>-0.05</v>
      </c>
      <c r="E13" s="21">
        <v>-0.04</v>
      </c>
      <c r="F13" s="21">
        <v>-0.03</v>
      </c>
      <c r="G13" s="21">
        <v>-0.02</v>
      </c>
      <c r="H13" s="21">
        <v>-0.01</v>
      </c>
      <c r="I13" s="21">
        <v>0</v>
      </c>
      <c r="J13" s="21">
        <v>0.01</v>
      </c>
      <c r="K13" s="21">
        <v>0.02</v>
      </c>
      <c r="L13" s="21">
        <v>0.03</v>
      </c>
      <c r="M13" s="21">
        <v>0.04</v>
      </c>
      <c r="N13" s="130">
        <v>0.05</v>
      </c>
    </row>
    <row r="14" spans="1:14" x14ac:dyDescent="0.3">
      <c r="C14" s="137">
        <f ca="1">B11</f>
        <v>316334.71744000015</v>
      </c>
      <c r="D14" s="134" cm="1">
        <f t="array" aca="1" ref="D14:N14" ca="1">TRANSPOSE(expenses_range)</f>
        <v>5324352.5230399994</v>
      </c>
      <c r="E14" s="135">
        <f ca="1"/>
        <v>5380398.3390719993</v>
      </c>
      <c r="F14" s="135">
        <f ca="1"/>
        <v>5436444.1551039992</v>
      </c>
      <c r="G14" s="135">
        <f ca="1"/>
        <v>5492489.971136</v>
      </c>
      <c r="H14" s="135">
        <f ca="1"/>
        <v>5548535.7871679999</v>
      </c>
      <c r="I14" s="135">
        <f ca="1"/>
        <v>5604581.6031999998</v>
      </c>
      <c r="J14" s="135">
        <f ca="1"/>
        <v>5660627.4192319997</v>
      </c>
      <c r="K14" s="135">
        <f ca="1"/>
        <v>5716673.2352639996</v>
      </c>
      <c r="L14" s="135">
        <f ca="1"/>
        <v>5772719.0512960004</v>
      </c>
      <c r="M14" s="135">
        <f ca="1"/>
        <v>5828764.8673280003</v>
      </c>
      <c r="N14" s="136">
        <f ca="1"/>
        <v>5884810.6833600001</v>
      </c>
    </row>
    <row r="15" spans="1:14" x14ac:dyDescent="0.3">
      <c r="A15" s="157" t="s">
        <v>85</v>
      </c>
      <c r="B15" s="126" cm="1">
        <f t="array" ref="B15:B25">Range</f>
        <v>-0.05</v>
      </c>
      <c r="C15" s="131" cm="1">
        <f t="array" ref="C15:C25">selling_price_range</f>
        <v>57000</v>
      </c>
      <c r="D15" s="37">
        <v>296032.46156800014</v>
      </c>
      <c r="E15" s="37">
        <v>466591.16310527996</v>
      </c>
      <c r="F15" s="37">
        <v>589393.42821212183</v>
      </c>
      <c r="G15" s="37">
        <v>668805.5596478798</v>
      </c>
      <c r="H15" s="37">
        <v>707717.5040514007</v>
      </c>
      <c r="I15" s="37">
        <v>707717.5040514007</v>
      </c>
      <c r="J15" s="37">
        <v>669194.67909191479</v>
      </c>
      <c r="K15" s="37">
        <v>591378.5726737529</v>
      </c>
      <c r="L15" s="37">
        <v>472319.92985396535</v>
      </c>
      <c r="M15" s="37">
        <v>308812.7270481236</v>
      </c>
      <c r="N15" s="127">
        <v>96253.363400529328</v>
      </c>
    </row>
    <row r="16" spans="1:14" x14ac:dyDescent="0.3">
      <c r="A16" s="158"/>
      <c r="B16" s="124">
        <v>-0.04</v>
      </c>
      <c r="C16" s="132">
        <v>57600</v>
      </c>
      <c r="D16" s="37">
        <v>137040.69523050339</v>
      </c>
      <c r="E16" s="37">
        <v>306663.06742128357</v>
      </c>
      <c r="F16" s="37">
        <v>428791.17539864482</v>
      </c>
      <c r="G16" s="37">
        <v>507767.351890672</v>
      </c>
      <c r="H16" s="37">
        <v>546465.67837176542</v>
      </c>
      <c r="I16" s="37">
        <v>546465.67837176542</v>
      </c>
      <c r="J16" s="37">
        <v>508154.33515548334</v>
      </c>
      <c r="K16" s="37">
        <v>430765.42185859306</v>
      </c>
      <c r="L16" s="37">
        <v>312360.38451435044</v>
      </c>
      <c r="M16" s="37">
        <v>149750.79989492445</v>
      </c>
      <c r="N16" s="121">
        <v>-61641.660110329838</v>
      </c>
    </row>
    <row r="17" spans="1:14" x14ac:dyDescent="0.3">
      <c r="A17" s="158"/>
      <c r="B17" s="124">
        <v>-0.03</v>
      </c>
      <c r="C17" s="132">
        <v>58200</v>
      </c>
      <c r="D17" s="37">
        <v>28992.422895187141</v>
      </c>
      <c r="E17" s="37">
        <v>197683.60597938002</v>
      </c>
      <c r="F17" s="37">
        <v>319141.25779999868</v>
      </c>
      <c r="G17" s="37">
        <v>397683.872643999</v>
      </c>
      <c r="H17" s="37">
        <v>436169.75391755922</v>
      </c>
      <c r="I17" s="37">
        <v>436169.75391755922</v>
      </c>
      <c r="J17" s="37">
        <v>398068.731456735</v>
      </c>
      <c r="K17" s="37">
        <v>321104.66608586983</v>
      </c>
      <c r="L17" s="37">
        <v>203349.64606844558</v>
      </c>
      <c r="M17" s="37">
        <v>41632.751911183448</v>
      </c>
      <c r="N17" s="121">
        <v>-168599.21049325765</v>
      </c>
    </row>
    <row r="18" spans="1:14" x14ac:dyDescent="0.3">
      <c r="A18" s="158"/>
      <c r="B18" s="124">
        <v>-0.02</v>
      </c>
      <c r="C18" s="132">
        <v>58800</v>
      </c>
      <c r="D18" s="37">
        <v>-32781.089968594162</v>
      </c>
      <c r="E18" s="37">
        <v>134984.01603014991</v>
      </c>
      <c r="F18" s="37">
        <v>255774.89234924541</v>
      </c>
      <c r="G18" s="37">
        <v>333886.32570226042</v>
      </c>
      <c r="H18" s="37">
        <v>372160.92804523779</v>
      </c>
      <c r="I18" s="37">
        <v>372160.92804523779</v>
      </c>
      <c r="J18" s="37">
        <v>334269.07172569039</v>
      </c>
      <c r="K18" s="37">
        <v>257727.52196020409</v>
      </c>
      <c r="L18" s="37">
        <v>140618.95081901029</v>
      </c>
      <c r="M18" s="37">
        <v>-20210.153548229486</v>
      </c>
      <c r="N18" s="121">
        <v>-229287.98922564089</v>
      </c>
    </row>
    <row r="19" spans="1:14" x14ac:dyDescent="0.3">
      <c r="A19" s="158"/>
      <c r="B19" s="123">
        <v>-0.01</v>
      </c>
      <c r="C19" s="132">
        <v>59400</v>
      </c>
      <c r="D19" s="37">
        <v>-51369.727364358303</v>
      </c>
      <c r="E19" s="37">
        <v>115474.38550621644</v>
      </c>
      <c r="F19" s="37">
        <v>235602.14677302988</v>
      </c>
      <c r="G19" s="37">
        <v>313284.76572556945</v>
      </c>
      <c r="H19" s="37">
        <v>351349.24901231378</v>
      </c>
      <c r="I19" s="37">
        <v>351349.24901231378</v>
      </c>
      <c r="J19" s="37">
        <v>313665.41055843682</v>
      </c>
      <c r="K19" s="37">
        <v>237544.05688160582</v>
      </c>
      <c r="L19" s="37">
        <v>121078.38575605377</v>
      </c>
      <c r="M19" s="37">
        <v>-38867.802589704093</v>
      </c>
      <c r="N19" s="121">
        <v>-246797.84743918927</v>
      </c>
    </row>
    <row r="20" spans="1:14" x14ac:dyDescent="0.3">
      <c r="A20" s="158"/>
      <c r="B20" s="123">
        <v>0</v>
      </c>
      <c r="C20" s="132">
        <v>60000</v>
      </c>
      <c r="D20" s="37">
        <v>-28471.300347229837</v>
      </c>
      <c r="E20" s="37">
        <v>137456.87544265986</v>
      </c>
      <c r="F20" s="37">
        <v>256925.16201138048</v>
      </c>
      <c r="G20" s="37">
        <v>334181.32065915316</v>
      </c>
      <c r="H20" s="37">
        <v>372036.83839656191</v>
      </c>
      <c r="I20" s="37">
        <v>372036.83839656191</v>
      </c>
      <c r="J20" s="37">
        <v>334559.87583652732</v>
      </c>
      <c r="K20" s="37">
        <v>258856.41146525816</v>
      </c>
      <c r="L20" s="37">
        <v>143030.11097721607</v>
      </c>
      <c r="M20" s="37">
        <v>-16038.008359695226</v>
      </c>
      <c r="N20" s="121">
        <v>-222826.56349768041</v>
      </c>
    </row>
    <row r="21" spans="1:14" x14ac:dyDescent="0.3">
      <c r="A21" s="158"/>
      <c r="B21" s="123">
        <v>0.01</v>
      </c>
      <c r="C21" s="132">
        <v>60600</v>
      </c>
      <c r="D21" s="37">
        <v>35498.750341203806</v>
      </c>
      <c r="E21" s="37">
        <v>200516.01734131575</v>
      </c>
      <c r="F21" s="37">
        <v>319328.44958139659</v>
      </c>
      <c r="G21" s="37">
        <v>396160.48909664899</v>
      </c>
      <c r="H21" s="37">
        <v>433808.1884591222</v>
      </c>
      <c r="I21" s="37">
        <v>433808.1884591222</v>
      </c>
      <c r="J21" s="37">
        <v>396536.96609027311</v>
      </c>
      <c r="K21" s="37">
        <v>321249.0969051987</v>
      </c>
      <c r="L21" s="37">
        <v>206058.65705203489</v>
      </c>
      <c r="M21" s="37">
        <v>47863.786320356281</v>
      </c>
      <c r="N21" s="121">
        <v>-157789.54563082606</v>
      </c>
    </row>
    <row r="22" spans="1:14" x14ac:dyDescent="0.3">
      <c r="A22" s="158"/>
      <c r="B22" s="123">
        <v>0.02</v>
      </c>
      <c r="C22" s="132">
        <v>61200</v>
      </c>
      <c r="D22" s="37">
        <v>141365.06142479478</v>
      </c>
      <c r="E22" s="37">
        <v>305476.42032183858</v>
      </c>
      <c r="F22" s="37">
        <v>423636.59872770979</v>
      </c>
      <c r="G22" s="37">
        <v>500046.84743017331</v>
      </c>
      <c r="H22" s="37">
        <v>537487.86929438042</v>
      </c>
      <c r="I22" s="37">
        <v>537487.86929438042</v>
      </c>
      <c r="J22" s="37">
        <v>500421.25764881523</v>
      </c>
      <c r="K22" s="37">
        <v>425546.7021247737</v>
      </c>
      <c r="L22" s="37">
        <v>310988.63217299059</v>
      </c>
      <c r="M22" s="37">
        <v>153662.21610587463</v>
      </c>
      <c r="N22" s="121">
        <v>-50862.124781376122</v>
      </c>
    </row>
    <row r="23" spans="1:14" x14ac:dyDescent="0.3">
      <c r="A23" s="158"/>
      <c r="B23" s="123">
        <v>0.03</v>
      </c>
      <c r="C23" s="132">
        <v>61800</v>
      </c>
      <c r="D23" s="37">
        <v>291212.90416576416</v>
      </c>
      <c r="E23" s="37">
        <v>454423.3281937897</v>
      </c>
      <c r="F23" s="37">
        <v>571934.83349396812</v>
      </c>
      <c r="G23" s="37">
        <v>647925.60692141729</v>
      </c>
      <c r="H23" s="37">
        <v>685161.08590086701</v>
      </c>
      <c r="I23" s="37">
        <v>685161.08590086701</v>
      </c>
      <c r="J23" s="37">
        <v>648297.96171121148</v>
      </c>
      <c r="K23" s="37">
        <v>573834.45084810781</v>
      </c>
      <c r="L23" s="37">
        <v>459905.27922755852</v>
      </c>
      <c r="M23" s="37">
        <v>303442.55020200461</v>
      </c>
      <c r="N23" s="121">
        <v>100041.00246878415</v>
      </c>
    </row>
    <row r="24" spans="1:14" x14ac:dyDescent="0.3">
      <c r="A24" s="158"/>
      <c r="B24" s="123">
        <v>0.04</v>
      </c>
      <c r="C24" s="132">
        <v>62400</v>
      </c>
      <c r="D24" s="37">
        <v>488471.56778332294</v>
      </c>
      <c r="E24" s="37">
        <v>650786.00287443248</v>
      </c>
      <c r="F24" s="37">
        <v>767652.39614003152</v>
      </c>
      <c r="G24" s="37">
        <v>843225.99711845221</v>
      </c>
      <c r="H24" s="37">
        <v>880257.06159787846</v>
      </c>
      <c r="I24" s="37">
        <v>880257.06159787846</v>
      </c>
      <c r="J24" s="37">
        <v>843596.30776324647</v>
      </c>
      <c r="K24" s="37">
        <v>769541.58501728997</v>
      </c>
      <c r="L24" s="37">
        <v>656237.85921597632</v>
      </c>
      <c r="M24" s="37">
        <v>500634.07578217238</v>
      </c>
      <c r="N24" s="121">
        <v>298349.15731822775</v>
      </c>
    </row>
    <row r="25" spans="1:14" x14ac:dyDescent="0.3">
      <c r="A25" s="159"/>
      <c r="B25" s="125">
        <v>0.05</v>
      </c>
      <c r="C25" s="133">
        <v>63000</v>
      </c>
      <c r="D25" s="128">
        <v>738064.94395842252</v>
      </c>
      <c r="E25" s="60">
        <v>899488.30889265018</v>
      </c>
      <c r="F25" s="60">
        <v>1015713.1316452943</v>
      </c>
      <c r="G25" s="60">
        <v>1090871.850358671</v>
      </c>
      <c r="H25" s="60">
        <v>1127699.6225282252</v>
      </c>
      <c r="I25" s="60">
        <v>1127699.6225282252</v>
      </c>
      <c r="J25" s="60">
        <v>1091240.1280803666</v>
      </c>
      <c r="K25" s="60">
        <v>1017591.9492956914</v>
      </c>
      <c r="L25" s="60">
        <v>904910.2357551388</v>
      </c>
      <c r="M25" s="60">
        <v>750160.68249277922</v>
      </c>
      <c r="N25" s="122">
        <v>548986.2632517122</v>
      </c>
    </row>
    <row r="26" spans="1:14" x14ac:dyDescent="0.3">
      <c r="A26" t="s">
        <v>164</v>
      </c>
    </row>
  </sheetData>
  <sheetProtection algorithmName="SHA-512" hashValue="jFXsXAnQ8DladJ0e0I6C0GZpV9SMNPAatsIsNP+KmiRfn2AMRMO/FJd0qq+4UKkVdhPQuCbOJx6jIA+lUg1A2g==" saltValue="spHax2nzy7gLunotRW6E/w==" spinCount="100000" sheet="1" objects="1" scenarios="1"/>
  <mergeCells count="2">
    <mergeCell ref="D12:N12"/>
    <mergeCell ref="A15:A25"/>
  </mergeCells>
  <conditionalFormatting sqref="D15:N25">
    <cfRule type="cellIs" dxfId="17" priority="1" operator="lessThan">
      <formula>0</formula>
    </cfRule>
    <cfRule type="cellIs" dxfId="16" priority="2" operator="less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81216-8A11-C840-80E3-3CBD6AD804A3}">
  <dimension ref="A1:L39"/>
  <sheetViews>
    <sheetView showGridLines="0" tabSelected="1" zoomScale="85" zoomScaleNormal="85" workbookViewId="0">
      <selection activeCell="F8" sqref="F8"/>
    </sheetView>
  </sheetViews>
  <sheetFormatPr defaultColWidth="11.5546875" defaultRowHeight="14.4" x14ac:dyDescent="0.3"/>
  <cols>
    <col min="1" max="1" width="22.6640625" customWidth="1"/>
    <col min="2" max="2" width="19.44140625" customWidth="1"/>
    <col min="3" max="3" width="22.77734375" customWidth="1"/>
    <col min="4" max="4" width="14.88671875" bestFit="1" customWidth="1"/>
    <col min="5" max="5" width="6.33203125" customWidth="1"/>
    <col min="6" max="6" width="28.44140625" bestFit="1" customWidth="1"/>
    <col min="8" max="8" width="7.6640625" customWidth="1"/>
    <col min="9" max="9" width="27.5546875" bestFit="1" customWidth="1"/>
    <col min="10" max="10" width="21.5546875" bestFit="1" customWidth="1"/>
    <col min="11" max="11" width="12.33203125" bestFit="1" customWidth="1"/>
  </cols>
  <sheetData>
    <row r="1" spans="1:12" ht="17.399999999999999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2" x14ac:dyDescent="0.3">
      <c r="A2" s="5" t="s">
        <v>193</v>
      </c>
      <c r="B2" s="3"/>
      <c r="C2" s="17"/>
      <c r="D2" s="3"/>
      <c r="E2" s="3"/>
      <c r="F2" s="3"/>
      <c r="G2" s="3"/>
      <c r="H2" s="3"/>
      <c r="I2" s="3"/>
      <c r="J2" s="3"/>
      <c r="K2" s="3"/>
    </row>
    <row r="3" spans="1:12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ht="15.6" x14ac:dyDescent="0.3">
      <c r="A4" s="141" t="s">
        <v>168</v>
      </c>
      <c r="B4" s="141"/>
      <c r="C4" s="27"/>
      <c r="D4" s="27"/>
      <c r="E4" s="27"/>
      <c r="F4" s="141" t="s">
        <v>176</v>
      </c>
      <c r="G4" s="27"/>
      <c r="H4" s="27"/>
      <c r="I4" s="142" t="s">
        <v>181</v>
      </c>
      <c r="J4" s="143" t="s">
        <v>182</v>
      </c>
      <c r="K4" s="143" t="s">
        <v>183</v>
      </c>
      <c r="L4" s="27"/>
    </row>
    <row r="5" spans="1:12" ht="15.6" x14ac:dyDescent="0.3">
      <c r="A5" s="32" t="s">
        <v>169</v>
      </c>
      <c r="B5" s="143" t="s">
        <v>84</v>
      </c>
      <c r="C5" s="32" t="s">
        <v>170</v>
      </c>
      <c r="D5" s="28" t="s">
        <v>194</v>
      </c>
      <c r="E5" s="27"/>
      <c r="F5" s="32" t="s">
        <v>177</v>
      </c>
      <c r="G5" s="28" t="s">
        <v>84</v>
      </c>
      <c r="H5" s="27"/>
      <c r="I5" s="142" t="s">
        <v>184</v>
      </c>
      <c r="J5" s="145">
        <v>24341</v>
      </c>
      <c r="K5" s="144">
        <v>0.42080000000000001</v>
      </c>
      <c r="L5" s="27"/>
    </row>
    <row r="6" spans="1:12" ht="15.6" x14ac:dyDescent="0.3">
      <c r="A6" s="143" t="s">
        <v>171</v>
      </c>
      <c r="B6" s="143">
        <v>30.24</v>
      </c>
      <c r="C6" s="143" t="s">
        <v>171</v>
      </c>
      <c r="D6" s="28">
        <v>30.24</v>
      </c>
      <c r="E6" s="27"/>
      <c r="F6" s="143" t="s">
        <v>178</v>
      </c>
      <c r="G6" s="28">
        <v>3661</v>
      </c>
      <c r="H6" s="22" t="s">
        <v>34</v>
      </c>
      <c r="I6" s="142" t="s">
        <v>185</v>
      </c>
      <c r="J6" s="145">
        <v>4352</v>
      </c>
      <c r="K6" s="144">
        <v>7.5200000000000003E-2</v>
      </c>
      <c r="L6" s="27"/>
    </row>
    <row r="7" spans="1:12" ht="15.6" x14ac:dyDescent="0.3">
      <c r="A7" s="143" t="s">
        <v>172</v>
      </c>
      <c r="B7" s="143">
        <v>8295</v>
      </c>
      <c r="C7" s="143" t="s">
        <v>173</v>
      </c>
      <c r="D7" s="28">
        <v>2510</v>
      </c>
      <c r="E7" s="22" t="s">
        <v>34</v>
      </c>
      <c r="F7" s="143" t="s">
        <v>179</v>
      </c>
      <c r="G7" s="28">
        <v>966000</v>
      </c>
      <c r="H7" s="22" t="s">
        <v>34</v>
      </c>
      <c r="I7" s="142" t="s">
        <v>186</v>
      </c>
      <c r="J7" s="145">
        <v>12501</v>
      </c>
      <c r="K7" s="144">
        <v>0.21609999999999999</v>
      </c>
      <c r="L7" s="27"/>
    </row>
    <row r="8" spans="1:12" ht="15.6" x14ac:dyDescent="0.3">
      <c r="A8" s="30" t="s">
        <v>174</v>
      </c>
      <c r="B8" s="147">
        <v>3.5999999999999999E-3</v>
      </c>
      <c r="C8" s="30" t="s">
        <v>175</v>
      </c>
      <c r="D8" s="148">
        <v>1.2E-2</v>
      </c>
      <c r="E8" s="27"/>
      <c r="F8" s="30" t="s">
        <v>180</v>
      </c>
      <c r="G8" s="146">
        <v>3.8E-3</v>
      </c>
      <c r="H8" s="27"/>
      <c r="I8" s="142" t="s">
        <v>187</v>
      </c>
      <c r="J8" s="145">
        <v>3110</v>
      </c>
      <c r="K8" s="144">
        <v>5.3800000000000001E-2</v>
      </c>
      <c r="L8" s="27"/>
    </row>
    <row r="9" spans="1:12" ht="15.6" x14ac:dyDescent="0.3">
      <c r="E9" s="27"/>
      <c r="F9" s="27"/>
      <c r="G9" s="27"/>
      <c r="H9" s="27"/>
      <c r="I9" s="142" t="s">
        <v>188</v>
      </c>
      <c r="J9" s="145">
        <v>4752</v>
      </c>
      <c r="K9" s="144">
        <v>8.2100000000000006E-2</v>
      </c>
      <c r="L9" s="27"/>
    </row>
    <row r="10" spans="1:12" ht="15.6" x14ac:dyDescent="0.3">
      <c r="A10" s="27"/>
      <c r="B10" s="27"/>
      <c r="C10" s="27"/>
      <c r="D10" s="27"/>
      <c r="F10" s="27"/>
      <c r="G10" s="27"/>
      <c r="H10" s="27"/>
      <c r="I10" s="142" t="s">
        <v>189</v>
      </c>
      <c r="J10" s="145">
        <v>4441</v>
      </c>
      <c r="K10" s="144">
        <v>7.6799999999999993E-2</v>
      </c>
      <c r="L10" s="27"/>
    </row>
    <row r="11" spans="1:12" ht="15.6" x14ac:dyDescent="0.3">
      <c r="A11" s="27"/>
      <c r="B11" s="27"/>
      <c r="C11" s="27"/>
      <c r="D11" s="27"/>
      <c r="E11" s="27"/>
      <c r="F11" s="27"/>
      <c r="G11" s="27"/>
      <c r="H11" s="27"/>
      <c r="I11" s="142" t="s">
        <v>190</v>
      </c>
      <c r="J11" s="145">
        <v>4053</v>
      </c>
      <c r="K11" s="144">
        <v>7.0099999999999996E-2</v>
      </c>
      <c r="L11" s="27"/>
    </row>
    <row r="12" spans="1:12" ht="15.6" x14ac:dyDescent="0.3">
      <c r="A12" s="27"/>
      <c r="B12" s="27"/>
      <c r="C12" s="27"/>
      <c r="D12" s="27"/>
      <c r="E12" s="27"/>
      <c r="F12" s="27"/>
      <c r="G12" s="27"/>
      <c r="H12" s="27"/>
      <c r="I12" s="142" t="s">
        <v>191</v>
      </c>
      <c r="J12" s="145">
        <v>297</v>
      </c>
      <c r="K12" s="144">
        <v>5.1000000000000004E-3</v>
      </c>
      <c r="L12" s="27"/>
    </row>
    <row r="13" spans="1:12" ht="15.6" x14ac:dyDescent="0.3">
      <c r="D13" s="27"/>
      <c r="E13" s="27"/>
      <c r="F13" s="27"/>
      <c r="G13" s="27"/>
      <c r="H13" s="27"/>
      <c r="I13" s="142" t="s">
        <v>192</v>
      </c>
      <c r="J13" s="145">
        <v>57847</v>
      </c>
      <c r="K13" s="143"/>
      <c r="L13" s="27"/>
    </row>
    <row r="14" spans="1:12" ht="15.6" x14ac:dyDescent="0.3">
      <c r="D14" s="27"/>
      <c r="E14" s="27"/>
      <c r="F14" s="27"/>
      <c r="G14" s="27"/>
      <c r="H14" s="27"/>
      <c r="I14" s="22" t="s">
        <v>34</v>
      </c>
      <c r="J14" s="27"/>
      <c r="K14" s="27"/>
      <c r="L14" s="27"/>
    </row>
    <row r="15" spans="1:12" ht="15.6" x14ac:dyDescent="0.3">
      <c r="D15" s="27"/>
      <c r="E15" s="27"/>
      <c r="F15" s="27"/>
      <c r="G15" s="27"/>
      <c r="H15" s="27"/>
      <c r="I15" s="27"/>
      <c r="J15" s="27"/>
      <c r="K15" s="27"/>
      <c r="L15" s="27"/>
    </row>
    <row r="16" spans="1:12" ht="15.6" x14ac:dyDescent="0.3">
      <c r="D16" s="27"/>
      <c r="E16" s="27"/>
      <c r="F16" s="27"/>
      <c r="G16" s="27"/>
      <c r="H16" s="27"/>
      <c r="I16" s="27"/>
      <c r="J16" s="27"/>
      <c r="K16" s="27"/>
      <c r="L16" s="27"/>
    </row>
    <row r="17" spans="1:12" ht="15.6" x14ac:dyDescent="0.3">
      <c r="D17" s="27"/>
      <c r="E17" s="27"/>
      <c r="F17" s="27"/>
      <c r="G17" s="27"/>
      <c r="H17" s="27"/>
      <c r="I17" s="27"/>
      <c r="J17" s="27"/>
      <c r="K17" s="27"/>
      <c r="L17" s="27"/>
    </row>
    <row r="18" spans="1:12" ht="15.6" x14ac:dyDescent="0.3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</row>
    <row r="19" spans="1:12" ht="15.6" x14ac:dyDescent="0.3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</row>
    <row r="20" spans="1:12" ht="15.6" x14ac:dyDescent="0.3">
      <c r="D20" s="27"/>
      <c r="E20" s="27"/>
      <c r="F20" s="27"/>
      <c r="G20" s="27"/>
      <c r="H20" s="27"/>
      <c r="I20" s="27"/>
      <c r="J20" s="27"/>
      <c r="K20" s="27"/>
      <c r="L20" s="27"/>
    </row>
    <row r="21" spans="1:12" ht="15.6" x14ac:dyDescent="0.3"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5.6" x14ac:dyDescent="0.3"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5.6" x14ac:dyDescent="0.3">
      <c r="D23" s="27"/>
      <c r="E23" s="27"/>
      <c r="F23" s="27"/>
      <c r="G23" s="27"/>
      <c r="H23" s="27"/>
      <c r="I23" s="27"/>
      <c r="J23" s="27"/>
      <c r="K23" s="27"/>
      <c r="L23" s="27"/>
    </row>
    <row r="24" spans="1:12" ht="15.6" x14ac:dyDescent="0.3">
      <c r="D24" s="27"/>
      <c r="E24" s="27"/>
      <c r="F24" s="27"/>
      <c r="G24" s="27"/>
      <c r="H24" s="27"/>
      <c r="I24" s="27"/>
      <c r="J24" s="27"/>
      <c r="K24" s="27"/>
      <c r="L24" s="27"/>
    </row>
    <row r="25" spans="1:12" ht="15.6" x14ac:dyDescent="0.3">
      <c r="D25" s="27"/>
      <c r="E25" s="27"/>
      <c r="F25" s="27"/>
      <c r="G25" s="27"/>
      <c r="H25" s="27"/>
      <c r="I25" s="27"/>
      <c r="J25" s="27"/>
      <c r="K25" s="27"/>
      <c r="L25" s="27"/>
    </row>
    <row r="26" spans="1:12" ht="15.6" x14ac:dyDescent="0.3">
      <c r="D26" s="27"/>
      <c r="E26" s="27"/>
      <c r="F26" s="27"/>
      <c r="G26" s="27"/>
      <c r="H26" s="27"/>
      <c r="I26" s="27"/>
      <c r="J26" s="27"/>
      <c r="K26" s="27"/>
      <c r="L26" s="27"/>
    </row>
    <row r="27" spans="1:12" ht="15.6" x14ac:dyDescent="0.3">
      <c r="D27" s="27"/>
      <c r="E27" s="27"/>
      <c r="F27" s="27"/>
      <c r="G27" s="27"/>
      <c r="H27" s="27"/>
      <c r="I27" s="27"/>
      <c r="J27" s="27"/>
      <c r="K27" s="27"/>
      <c r="L27" s="27"/>
    </row>
    <row r="28" spans="1:12" ht="15.6" x14ac:dyDescent="0.3">
      <c r="D28" s="27"/>
      <c r="E28" s="27"/>
      <c r="F28" s="27"/>
      <c r="G28" s="27"/>
      <c r="H28" s="27"/>
      <c r="I28" s="27"/>
      <c r="J28" s="27"/>
      <c r="K28" s="27"/>
      <c r="L28" s="27"/>
    </row>
    <row r="29" spans="1:12" ht="15.6" x14ac:dyDescent="0.3">
      <c r="D29" s="27"/>
      <c r="E29" s="27"/>
      <c r="F29" s="27"/>
      <c r="G29" s="27"/>
      <c r="H29" s="27"/>
      <c r="I29" s="27"/>
      <c r="J29" s="27"/>
      <c r="K29" s="27"/>
      <c r="L29" s="27"/>
    </row>
    <row r="30" spans="1:12" ht="15.6" x14ac:dyDescent="0.3">
      <c r="D30" s="27"/>
      <c r="E30" s="27"/>
      <c r="F30" s="27"/>
      <c r="G30" s="27"/>
      <c r="H30" s="27"/>
      <c r="I30" s="27"/>
      <c r="J30" s="27"/>
      <c r="K30" s="27"/>
      <c r="L30" s="27"/>
    </row>
    <row r="31" spans="1:12" ht="15.6" x14ac:dyDescent="0.3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</row>
    <row r="32" spans="1:12" ht="15.6" x14ac:dyDescent="0.3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</row>
    <row r="33" spans="1:12" ht="15.6" x14ac:dyDescent="0.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</row>
    <row r="34" spans="1:12" ht="15.6" x14ac:dyDescent="0.3">
      <c r="A34" s="14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</row>
    <row r="35" spans="1:12" ht="15.6" x14ac:dyDescent="0.3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</row>
    <row r="36" spans="1:12" ht="15.6" x14ac:dyDescent="0.3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</row>
    <row r="37" spans="1:12" ht="15.6" x14ac:dyDescent="0.3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</row>
    <row r="38" spans="1:12" ht="15.6" x14ac:dyDescent="0.3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</row>
    <row r="39" spans="1:12" ht="15.6" x14ac:dyDescent="0.3">
      <c r="E39" s="27"/>
      <c r="F39" s="27"/>
      <c r="G39" s="27"/>
      <c r="H39" s="27"/>
      <c r="I39" s="27"/>
      <c r="J39" s="27"/>
      <c r="K39" s="27"/>
      <c r="L39" s="27"/>
    </row>
  </sheetData>
  <sheetProtection algorithmName="SHA-512" hashValue="yq70zbxTpR8RCm+Qoxgf0Es7R8Hl+JG7yWgfRd32vrIW7LdyzSpFluqXJ8Z4e46naD3QuZji1ITqRUrQsSWXrA==" saltValue="Brd15CVEXl2bcuweg2ojqw==" spinCount="100000" sheet="1" objects="1" scenarios="1"/>
  <hyperlinks>
    <hyperlink ref="E7" r:id="rId1" display="https://companiesmarketcap.com/electricity/largest-electricity-companies-by-market-cap/" xr:uid="{55AF1ED2-532E-994A-BA47-35286850CC82}"/>
    <hyperlink ref="H6" r:id="rId2" display="https://www.engie.com/sites/default/files/assets/documents/2022-02/ENGIE_2021 Management report and annual consolidated financial statements.pdf" xr:uid="{521F00C1-7706-BE44-B399-9128F5268185}"/>
    <hyperlink ref="H7" r:id="rId3" display="https://www.globenewswire.com/en/news-release/2022/04/20/2425276/0/en/Renewable-Energy-Market-Size-to-Worth-Around-US-1-998-03-Bn-by-2030.html" xr:uid="{92425107-B142-A841-BD0E-691185330BAF}"/>
    <hyperlink ref="I14" r:id="rId4" display="https://www.engie.com/sites/default/files/assets/documents/2022-02/ENGIE_2021 Management report and annual consolidated financial statements.pdf" xr:uid="{9E33EEB5-477B-4A41-BBF7-C95F380CFA3C}"/>
  </hyperlinks>
  <pageMargins left="0.7" right="0.7" top="0.75" bottom="0.75" header="0.3" footer="0.3"/>
  <drawing r:id="rId5"/>
  <tableParts count="3">
    <tablePart r:id="rId6"/>
    <tablePart r:id="rId7"/>
    <tablePart r:id="rId8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FAE069608FAE49A7E2556CF11D7D4E" ma:contentTypeVersion="2" ma:contentTypeDescription="Een nieuw document maken." ma:contentTypeScope="" ma:versionID="7323d2a1916465e0b8c07bf5d03a0118">
  <xsd:schema xmlns:xsd="http://www.w3.org/2001/XMLSchema" xmlns:xs="http://www.w3.org/2001/XMLSchema" xmlns:p="http://schemas.microsoft.com/office/2006/metadata/properties" xmlns:ns2="48281937-629b-4890-bed2-b002618177b6" targetNamespace="http://schemas.microsoft.com/office/2006/metadata/properties" ma:root="true" ma:fieldsID="48ae6ab03dbac4eea9551b1d5fb99841" ns2:_="">
    <xsd:import namespace="48281937-629b-4890-bed2-b002618177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81937-629b-4890-bed2-b002618177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0829EDF-0193-4ED9-8C79-F8F2A5DC4C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281937-629b-4890-bed2-b002618177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A0875BD-6D94-4DD6-8FDF-DA1C5D14DDA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9FE0D2-1783-4152-B511-1E0DB91E3785}">
  <ds:schemaRefs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48281937-629b-4890-bed2-b002618177b6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29</vt:i4>
      </vt:variant>
    </vt:vector>
  </HeadingPairs>
  <TitlesOfParts>
    <vt:vector size="39" baseType="lpstr">
      <vt:lpstr>Cash flow statement</vt:lpstr>
      <vt:lpstr>Income statement</vt:lpstr>
      <vt:lpstr>Capital requirement</vt:lpstr>
      <vt:lpstr>Depreciation</vt:lpstr>
      <vt:lpstr>Revenue</vt:lpstr>
      <vt:lpstr>Wages &amp; Rent</vt:lpstr>
      <vt:lpstr>WACC</vt:lpstr>
      <vt:lpstr>Sensitivity cases</vt:lpstr>
      <vt:lpstr>Sensitivity cases (net income)</vt:lpstr>
      <vt:lpstr>Market Share</vt:lpstr>
      <vt:lpstr>BackOfficeWage</vt:lpstr>
      <vt:lpstr>capital_expenditure</vt:lpstr>
      <vt:lpstr>Cost_for_business_per_kWh</vt:lpstr>
      <vt:lpstr>cost_per_kwh</vt:lpstr>
      <vt:lpstr>depreciation</vt:lpstr>
      <vt:lpstr>depreciation_amount</vt:lpstr>
      <vt:lpstr>depreciation_percentage</vt:lpstr>
      <vt:lpstr>depreciation_value</vt:lpstr>
      <vt:lpstr>ending_value</vt:lpstr>
      <vt:lpstr>Energy_consumption_kWh_sqm_warehouse</vt:lpstr>
      <vt:lpstr>Energy_consumption_office_kWh_sqm</vt:lpstr>
      <vt:lpstr>expenses_example</vt:lpstr>
      <vt:lpstr>expenses_range</vt:lpstr>
      <vt:lpstr>growth_sale_volume</vt:lpstr>
      <vt:lpstr>income_tax</vt:lpstr>
      <vt:lpstr>inflation_rate_Azerbaijan</vt:lpstr>
      <vt:lpstr>inflation_rate_Eurozone</vt:lpstr>
      <vt:lpstr>Net_income</vt:lpstr>
      <vt:lpstr>NPV_Euro</vt:lpstr>
      <vt:lpstr>NPV_Manat</vt:lpstr>
      <vt:lpstr>perpetuity_growth_rate</vt:lpstr>
      <vt:lpstr>Range</vt:lpstr>
      <vt:lpstr>revenue</vt:lpstr>
      <vt:lpstr>selling_price_range</vt:lpstr>
      <vt:lpstr>SiteOperationWage</vt:lpstr>
      <vt:lpstr>spot_exchange_rate</vt:lpstr>
      <vt:lpstr>TotalRent</vt:lpstr>
      <vt:lpstr>TotalUtility</vt:lpstr>
      <vt:lpstr>WACC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shushilinh vo tran</dc:creator>
  <cp:keywords/>
  <dc:description/>
  <cp:lastModifiedBy>shushilinh vo tran</cp:lastModifiedBy>
  <cp:revision/>
  <dcterms:created xsi:type="dcterms:W3CDTF">2022-09-24T15:04:48Z</dcterms:created>
  <dcterms:modified xsi:type="dcterms:W3CDTF">2023-03-22T00:27:18Z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0x010100B3FAE069608FAE49A7E2556CF11D7D4E</vt:lpwstr>
  </property>
</Properties>
</file>